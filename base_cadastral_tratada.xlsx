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58793e7d2faedf/Área de Trabalho/"/>
    </mc:Choice>
  </mc:AlternateContent>
  <xr:revisionPtr revIDLastSave="1" documentId="8_{50BB61BC-2039-4413-A90C-A7B156505682}" xr6:coauthVersionLast="47" xr6:coauthVersionMax="47" xr10:uidLastSave="{F107A433-150C-4E8A-9994-43834739115C}"/>
  <bookViews>
    <workbookView xWindow="-108" yWindow="-108" windowWidth="23256" windowHeight="12456" xr2:uid="{00000000-000D-0000-FFFF-FFFF00000000}"/>
  </bookViews>
  <sheets>
    <sheet name="Produtos" sheetId="1" r:id="rId1"/>
    <sheet name="Clientes" sheetId="2" r:id="rId2"/>
    <sheet name="Fornecedores" sheetId="3" r:id="rId3"/>
    <sheet name="Instruções" sheetId="4" r:id="rId4"/>
    <sheet name="Analise_Qualidade" sheetId="5" r:id="rId5"/>
  </sheets>
  <definedNames>
    <definedName name="_xlnm._FilterDatabase" localSheetId="4" hidden="1">Analise_Qualidade!$A$3:$J$35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4" i="5"/>
  <c r="I12" i="5"/>
  <c r="I13" i="5" s="1"/>
  <c r="I9" i="5"/>
  <c r="I8" i="5"/>
  <c r="I7" i="5"/>
  <c r="I6" i="5"/>
  <c r="I5" i="5"/>
</calcChain>
</file>

<file path=xl/sharedStrings.xml><?xml version="1.0" encoding="utf-8"?>
<sst xmlns="http://schemas.openxmlformats.org/spreadsheetml/2006/main" count="514" uniqueCount="282">
  <si>
    <t>ID Produto</t>
  </si>
  <si>
    <t>Produto</t>
  </si>
  <si>
    <t>Subcategoria</t>
  </si>
  <si>
    <t>Categoria</t>
  </si>
  <si>
    <t>Fornecedor</t>
  </si>
  <si>
    <t>EAN</t>
  </si>
  <si>
    <t>Preço</t>
  </si>
  <si>
    <t>Status</t>
  </si>
  <si>
    <t>PRD001</t>
  </si>
  <si>
    <t>Notebook Pro 14</t>
  </si>
  <si>
    <t>Informática</t>
  </si>
  <si>
    <t>Eletrônicos</t>
  </si>
  <si>
    <t>TechNova Ltda</t>
  </si>
  <si>
    <t>7891001000011</t>
  </si>
  <si>
    <t>Ativo</t>
  </si>
  <si>
    <t>PRD002</t>
  </si>
  <si>
    <t>Mouse Sem Fio</t>
  </si>
  <si>
    <t>Acessórios</t>
  </si>
  <si>
    <t>Connect Mais</t>
  </si>
  <si>
    <t>7891001000028</t>
  </si>
  <si>
    <t>PRD003</t>
  </si>
  <si>
    <t>Teclado Mecânico</t>
  </si>
  <si>
    <t>7891001000035</t>
  </si>
  <si>
    <t>PRD004</t>
  </si>
  <si>
    <t>Monitor 24 Polegadas</t>
  </si>
  <si>
    <t>Monitores</t>
  </si>
  <si>
    <t>Vision Tech</t>
  </si>
  <si>
    <t>7891001000042</t>
  </si>
  <si>
    <t>PRD005</t>
  </si>
  <si>
    <t>Cadeira Office</t>
  </si>
  <si>
    <t>Móveis</t>
  </si>
  <si>
    <t>Escritório</t>
  </si>
  <si>
    <t>Moveis Brasil</t>
  </si>
  <si>
    <t>7891001000059</t>
  </si>
  <si>
    <t>PRD006</t>
  </si>
  <si>
    <t>Webcam Full HD</t>
  </si>
  <si>
    <t>PRD007</t>
  </si>
  <si>
    <t>Headset USB</t>
  </si>
  <si>
    <t>acessórios</t>
  </si>
  <si>
    <t>7891001000073</t>
  </si>
  <si>
    <t>ativo</t>
  </si>
  <si>
    <t>PRD008</t>
  </si>
  <si>
    <t>SSD 1TB</t>
  </si>
  <si>
    <t>Armazenamento</t>
  </si>
  <si>
    <t>Data Storage</t>
  </si>
  <si>
    <t>7891001000080</t>
  </si>
  <si>
    <t>PRD009</t>
  </si>
  <si>
    <t>HD Externo 2TB</t>
  </si>
  <si>
    <t>Data storage</t>
  </si>
  <si>
    <t>7891001000097</t>
  </si>
  <si>
    <t>PRD010</t>
  </si>
  <si>
    <t>Impressora Laser</t>
  </si>
  <si>
    <t>Impressoras</t>
  </si>
  <si>
    <t>PrintMax</t>
  </si>
  <si>
    <t>7891001000103</t>
  </si>
  <si>
    <t>Inativo</t>
  </si>
  <si>
    <t>PRD012</t>
  </si>
  <si>
    <t>Cabo HDMI 2m</t>
  </si>
  <si>
    <t>Cabos</t>
  </si>
  <si>
    <t>7891001000127</t>
  </si>
  <si>
    <t>PRD013</t>
  </si>
  <si>
    <t>Adaptador USB-C</t>
  </si>
  <si>
    <t>7891001000134</t>
  </si>
  <si>
    <t>PRD014</t>
  </si>
  <si>
    <t>Suporte Notebook</t>
  </si>
  <si>
    <t>7891001000141</t>
  </si>
  <si>
    <t>prd015</t>
  </si>
  <si>
    <t>Hub USB 4 Portas</t>
  </si>
  <si>
    <t>7891001000158</t>
  </si>
  <si>
    <t>ID Cliente</t>
  </si>
  <si>
    <t>Nome</t>
  </si>
  <si>
    <t>CPF</t>
  </si>
  <si>
    <t>E-mail</t>
  </si>
  <si>
    <t>Telefone</t>
  </si>
  <si>
    <t>Cidade</t>
  </si>
  <si>
    <t>UF</t>
  </si>
  <si>
    <t>CLI001</t>
  </si>
  <si>
    <t>Ana Souza</t>
  </si>
  <si>
    <t>123.456.789-01</t>
  </si>
  <si>
    <t>ana.souza@email.com</t>
  </si>
  <si>
    <t>11987654321</t>
  </si>
  <si>
    <t>São Paulo</t>
  </si>
  <si>
    <t>SP</t>
  </si>
  <si>
    <t>CLI002</t>
  </si>
  <si>
    <t>Bruno Lima</t>
  </si>
  <si>
    <t>bruno.lima@email.com</t>
  </si>
  <si>
    <t>11 98888-7777</t>
  </si>
  <si>
    <t>CLI003</t>
  </si>
  <si>
    <t>Carla Mendes</t>
  </si>
  <si>
    <t>456.789.123-10</t>
  </si>
  <si>
    <t>carla.mendes@email</t>
  </si>
  <si>
    <t>11999998888</t>
  </si>
  <si>
    <t>Sao Paulo</t>
  </si>
  <si>
    <t>sp</t>
  </si>
  <si>
    <t>CLI004</t>
  </si>
  <si>
    <t>Diego Santos</t>
  </si>
  <si>
    <t>321.654.987-22</t>
  </si>
  <si>
    <t>diego@email.com</t>
  </si>
  <si>
    <t>Campinas</t>
  </si>
  <si>
    <t>CLI005</t>
  </si>
  <si>
    <t>Elisa Rocha</t>
  </si>
  <si>
    <t>elisa.rocha@email.com</t>
  </si>
  <si>
    <t>21977776666</t>
  </si>
  <si>
    <t>Rio de Janeiro</t>
  </si>
  <si>
    <t>RJ</t>
  </si>
  <si>
    <t>CLI006</t>
  </si>
  <si>
    <t>Fabio Costa</t>
  </si>
  <si>
    <t>741.852.963-33</t>
  </si>
  <si>
    <t>FABIO.COSTA@EMAIL.COM</t>
  </si>
  <si>
    <t>11966665555</t>
  </si>
  <si>
    <t>CLI007</t>
  </si>
  <si>
    <t>Gabriela Alves</t>
  </si>
  <si>
    <t>852.963.741-44</t>
  </si>
  <si>
    <t>gabriela@email.com</t>
  </si>
  <si>
    <t>11955554444</t>
  </si>
  <si>
    <t>CLI008</t>
  </si>
  <si>
    <t>Henrique Melo</t>
  </si>
  <si>
    <t>963.741.852-55</t>
  </si>
  <si>
    <t>henrique@email.com</t>
  </si>
  <si>
    <t>11944443333</t>
  </si>
  <si>
    <t>Guarulhos</t>
  </si>
  <si>
    <t>CLI009</t>
  </si>
  <si>
    <t>Isabela Martins</t>
  </si>
  <si>
    <t>159.357.456-66</t>
  </si>
  <si>
    <t>isabela@email.com</t>
  </si>
  <si>
    <t>11933332222</t>
  </si>
  <si>
    <t>CLI010</t>
  </si>
  <si>
    <t>João Ribeiro</t>
  </si>
  <si>
    <t>357.159.258-77</t>
  </si>
  <si>
    <t>joao@email.com</t>
  </si>
  <si>
    <t>11922221111</t>
  </si>
  <si>
    <t>CLI012</t>
  </si>
  <si>
    <t>Karen Nunes</t>
  </si>
  <si>
    <t>258.456.159-88</t>
  </si>
  <si>
    <t>karen@email.com</t>
  </si>
  <si>
    <t>11911110000</t>
  </si>
  <si>
    <t>CLI013</t>
  </si>
  <si>
    <t>Lucas Freitas</t>
  </si>
  <si>
    <t>654.321.987-99</t>
  </si>
  <si>
    <t>lucas.freitas@email.com</t>
  </si>
  <si>
    <t>11900009999</t>
  </si>
  <si>
    <t>Osasco</t>
  </si>
  <si>
    <t>cli014</t>
  </si>
  <si>
    <t>Mariana Lopes</t>
  </si>
  <si>
    <t>951.753.852-11</t>
  </si>
  <si>
    <t>mariana@email.com</t>
  </si>
  <si>
    <t>11899998888</t>
  </si>
  <si>
    <t>CLI015</t>
  </si>
  <si>
    <t>Nicolas Barros</t>
  </si>
  <si>
    <t>753.951.456-22</t>
  </si>
  <si>
    <t>nicolas@email.com</t>
  </si>
  <si>
    <t>abc123</t>
  </si>
  <si>
    <t>ID Fornecedor</t>
  </si>
  <si>
    <t>Razão Social</t>
  </si>
  <si>
    <t>CNPJ</t>
  </si>
  <si>
    <t>Segmento</t>
  </si>
  <si>
    <t>FOR001</t>
  </si>
  <si>
    <t>12.345.678/0001-90</t>
  </si>
  <si>
    <t>compras@technova.com</t>
  </si>
  <si>
    <t>11912345678</t>
  </si>
  <si>
    <t>FOR002</t>
  </si>
  <si>
    <t>98.765.432/0001-10</t>
  </si>
  <si>
    <t>Tecnologia</t>
  </si>
  <si>
    <t>contato@connectmais.com</t>
  </si>
  <si>
    <t>11923456789</t>
  </si>
  <si>
    <t>FOR003</t>
  </si>
  <si>
    <t>45.678.912/0001-34</t>
  </si>
  <si>
    <t>vendas@visiontech.com</t>
  </si>
  <si>
    <t>11934567890</t>
  </si>
  <si>
    <t>FOR004</t>
  </si>
  <si>
    <t>56.789.123/0001-45</t>
  </si>
  <si>
    <t>contato@moveisbrasil.com</t>
  </si>
  <si>
    <t>11945678901</t>
  </si>
  <si>
    <t>FOR005</t>
  </si>
  <si>
    <t>67.891.234/0001-56</t>
  </si>
  <si>
    <t>comercial@datastorage.com</t>
  </si>
  <si>
    <t>Barueri</t>
  </si>
  <si>
    <t>FOR006</t>
  </si>
  <si>
    <t>78.912.345/0001-67</t>
  </si>
  <si>
    <t>Impressão</t>
  </si>
  <si>
    <t>contato@printmax</t>
  </si>
  <si>
    <t>11967890123</t>
  </si>
  <si>
    <t>FOR007</t>
  </si>
  <si>
    <t>Office Suprimentos</t>
  </si>
  <si>
    <t>office@suprimentos.com</t>
  </si>
  <si>
    <t>11978901234</t>
  </si>
  <si>
    <t>FOR008</t>
  </si>
  <si>
    <t>Alpha Distribuidora</t>
  </si>
  <si>
    <t>89.123.456/0001-78</t>
  </si>
  <si>
    <t>alpha@distribuidora.com</t>
  </si>
  <si>
    <t>11989012345</t>
  </si>
  <si>
    <t>FOR009</t>
  </si>
  <si>
    <t>Beta Comercial</t>
  </si>
  <si>
    <t>91.234.567/0001-89</t>
  </si>
  <si>
    <t>beta@comercial.com</t>
  </si>
  <si>
    <t>11990123456</t>
  </si>
  <si>
    <t>FOR010</t>
  </si>
  <si>
    <t>Gamma Solutions</t>
  </si>
  <si>
    <t>23.456.789/0001-01</t>
  </si>
  <si>
    <t>Serviços</t>
  </si>
  <si>
    <t>gamma@solutions.com</t>
  </si>
  <si>
    <t>11901234567</t>
  </si>
  <si>
    <t>FOR012</t>
  </si>
  <si>
    <t>Delta Tech</t>
  </si>
  <si>
    <t>34.567.890/0001-12</t>
  </si>
  <si>
    <t>delta@tech.com</t>
  </si>
  <si>
    <t>telefone</t>
  </si>
  <si>
    <t>Projeto – Qualidade de Dados Cadastrais</t>
  </si>
  <si>
    <t>Objetivo do exercício</t>
  </si>
  <si>
    <t>Analise as abas Produtos, Clientes e Fornecedores e identifique problemas de qualidade de dados.</t>
  </si>
  <si>
    <t>Procure por duplicidades, campos vazios, falta de padronização, formatos inválidos e valores inconsistentes.</t>
  </si>
  <si>
    <t>Não altere esta base original. Crie uma cópia para realizar o tratamento.</t>
  </si>
  <si>
    <t>Sugestão de entrega</t>
  </si>
  <si>
    <t>1. Base original (este arquivo)</t>
  </si>
  <si>
    <t>2. Base tratada</t>
  </si>
  <si>
    <t>ANÁLISE DE QUALIDADE DE DADOS</t>
  </si>
  <si>
    <t>Base analisada</t>
  </si>
  <si>
    <t>Tipo de problema</t>
  </si>
  <si>
    <t>Campo</t>
  </si>
  <si>
    <t>Quantidade</t>
  </si>
  <si>
    <t>Exemplo encontrado</t>
  </si>
  <si>
    <t>Ação realizada</t>
  </si>
  <si>
    <t>Produtos</t>
  </si>
  <si>
    <t>Duplicidade</t>
  </si>
  <si>
    <t>Remoção do registro duplicado</t>
  </si>
  <si>
    <t>Campo vazio</t>
  </si>
  <si>
    <t>PRD006 – Webcam Full HD</t>
  </si>
  <si>
    <t>PRD012 – Cabo HDMI 2m</t>
  </si>
  <si>
    <t>PRD013 – Adaptador USB-C</t>
  </si>
  <si>
    <t>Validar/preencher informação</t>
  </si>
  <si>
    <t>Padronizar/preencher categoria</t>
  </si>
  <si>
    <t>Validar/preencher fornecedor</t>
  </si>
  <si>
    <t>Falta de padronização</t>
  </si>
  <si>
    <t>informatica / INFORMATICA</t>
  </si>
  <si>
    <t>Padronizado para “Informática”</t>
  </si>
  <si>
    <t>Padronizado para “Ativo”</t>
  </si>
  <si>
    <t>ATIVO / ativo / InAtivo</t>
  </si>
  <si>
    <t>Padronizado para “Ativo/ Inativo”</t>
  </si>
  <si>
    <t>Padronizado para PRD015</t>
  </si>
  <si>
    <t>PRD015</t>
  </si>
  <si>
    <t>Padronizado para “Data Storage”</t>
  </si>
  <si>
    <t>Valor inválido</t>
  </si>
  <si>
    <t>PRD014: -R$ 119,90</t>
  </si>
  <si>
    <t>Validar e corrigir valor</t>
  </si>
  <si>
    <t>Clientes</t>
  </si>
  <si>
    <t>CLI005 – Elisa Rocha</t>
  </si>
  <si>
    <t>CLI004 – Diego Santos</t>
  </si>
  <si>
    <t>CLI007 – Gabriela Alves</t>
  </si>
  <si>
    <t>CLI013 – Lucas Freitas</t>
  </si>
  <si>
    <t>Padronização para 000.000.000-00</t>
  </si>
  <si>
    <t>987.654.321-00</t>
  </si>
  <si>
    <t>Formato inválido</t>
  </si>
  <si>
    <t>E-mail validado e corrigido</t>
  </si>
  <si>
    <t>Padronizado para letras minúsculas</t>
  </si>
  <si>
    <t>fabio.costa@email.com</t>
  </si>
  <si>
    <t>11987654321 / 11 98888-7777</t>
  </si>
  <si>
    <t>Padronização do formato</t>
  </si>
  <si>
    <t>Sinalizado para validação</t>
  </si>
  <si>
    <t>carla.mendes@email.com</t>
  </si>
  <si>
    <t>Padronizado para “SP”</t>
  </si>
  <si>
    <t>Corrigido para “SP”</t>
  </si>
  <si>
    <t>Valor inconsistente</t>
  </si>
  <si>
    <t>Padronizado para CLI014</t>
  </si>
  <si>
    <t>CLI014</t>
  </si>
  <si>
    <t>Fornecedores</t>
  </si>
  <si>
    <t>FOR007 – Office Suprimentos</t>
  </si>
  <si>
    <t>FOR005 – Data Storage</t>
  </si>
  <si>
    <t>FOR008 – Alpha Distribuidora</t>
  </si>
  <si>
    <t>tecnologia / TECNOLOGIA</t>
  </si>
  <si>
    <t>Padronizado para “Tecnologia”</t>
  </si>
  <si>
    <t>Padronizado para “São Paulo”</t>
  </si>
  <si>
    <t>contato@printmax.com</t>
  </si>
  <si>
    <t>INDICADORES DE QUALIDADE</t>
  </si>
  <si>
    <t>Total de inconsistências</t>
  </si>
  <si>
    <t>Duplicidades</t>
  </si>
  <si>
    <t>Campos vazios</t>
  </si>
  <si>
    <t>Valores inválidos</t>
  </si>
  <si>
    <t>Registros analisados</t>
  </si>
  <si>
    <t>Inconsistências identificadas</t>
  </si>
  <si>
    <t>Inconsistências por registro</t>
  </si>
  <si>
    <t>Valores inconsistentes</t>
  </si>
  <si>
    <t>FOR010 – Gamma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</si>
</sst>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70" formatCode="0.0%"/>
  </numFmts>
  <fonts count="12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3"/>
      <name val="Carlito"/>
    </font>
    <font>
      <sz val="11"/>
      <name val="Carlito"/>
    </font>
    <font>
      <sz val="11"/>
      <color theme="1"/>
      <name val="Carlito"/>
    </font>
    <font>
      <b/>
      <sz val="10"/>
      <color rgb="FFFFFFFF"/>
      <name val="Carlito"/>
    </font>
    <font>
      <sz val="10"/>
      <name val="Carlito"/>
    </font>
    <font>
      <sz val="11"/>
      <color rgb="FFFF0000"/>
      <name val="Carlito"/>
    </font>
    <font>
      <u/>
      <sz val="11"/>
      <color theme="10"/>
      <name val="Carlito"/>
    </font>
    <font>
      <u/>
      <sz val="11"/>
      <color rgb="FFFF0000"/>
      <name val="Carlito"/>
    </font>
    <font>
      <sz val="1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 tint="0.39997558519241921"/>
      </right>
      <top style="thin">
        <color theme="4" tint="0.39997558519241921"/>
      </top>
      <bottom style="thin">
        <color theme="4"/>
      </bottom>
      <diagonal/>
    </border>
    <border>
      <left style="thin">
        <color theme="4" tint="0.39997558519241921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/>
      </right>
      <top style="thin">
        <color theme="4" tint="0.39997558519241921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/>
      <bottom style="thin">
        <color theme="4" tint="0.39997558519241921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4" borderId="0" xfId="0" applyFill="1" applyAlignment="1">
      <alignment wrapText="1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/>
    <xf numFmtId="0" fontId="8" fillId="0" borderId="0" xfId="0" applyFont="1" applyAlignment="1">
      <alignment wrapText="1"/>
    </xf>
    <xf numFmtId="0" fontId="5" fillId="0" borderId="3" xfId="0" applyFont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9" fillId="0" borderId="0" xfId="2" applyAlignment="1">
      <alignment wrapText="1"/>
    </xf>
    <xf numFmtId="0" fontId="0" fillId="6" borderId="0" xfId="0" applyFill="1" applyAlignment="1">
      <alignment wrapText="1"/>
    </xf>
    <xf numFmtId="0" fontId="8" fillId="0" borderId="0" xfId="0" applyFont="1"/>
    <xf numFmtId="0" fontId="10" fillId="0" borderId="0" xfId="2" applyFont="1" applyAlignment="1">
      <alignment wrapText="1"/>
    </xf>
    <xf numFmtId="0" fontId="0" fillId="7" borderId="0" xfId="0" applyFill="1"/>
    <xf numFmtId="0" fontId="11" fillId="7" borderId="0" xfId="0" applyFont="1" applyFill="1"/>
    <xf numFmtId="0" fontId="5" fillId="3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5" borderId="1" xfId="0" applyFont="1" applyFill="1" applyBorder="1" applyAlignment="1">
      <alignment wrapText="1"/>
    </xf>
    <xf numFmtId="0" fontId="0" fillId="7" borderId="1" xfId="0" applyFill="1" applyBorder="1"/>
    <xf numFmtId="0" fontId="0" fillId="7" borderId="5" xfId="0" applyFill="1" applyBorder="1"/>
    <xf numFmtId="0" fontId="5" fillId="3" borderId="6" xfId="0" applyFont="1" applyFill="1" applyBorder="1" applyAlignment="1">
      <alignment wrapText="1"/>
    </xf>
    <xf numFmtId="0" fontId="5" fillId="5" borderId="5" xfId="0" applyFont="1" applyFill="1" applyBorder="1" applyAlignment="1">
      <alignment wrapText="1"/>
    </xf>
    <xf numFmtId="0" fontId="5" fillId="7" borderId="5" xfId="0" applyFont="1" applyFill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3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3" borderId="10" xfId="0" applyFont="1" applyFill="1" applyBorder="1" applyAlignment="1">
      <alignment wrapText="1"/>
    </xf>
    <xf numFmtId="0" fontId="5" fillId="0" borderId="11" xfId="0" applyFont="1" applyBorder="1" applyAlignment="1">
      <alignment wrapText="1"/>
    </xf>
    <xf numFmtId="0" fontId="6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70" fontId="5" fillId="3" borderId="8" xfId="1" applyNumberFormat="1" applyFont="1" applyFill="1" applyBorder="1" applyAlignment="1">
      <alignment wrapText="1"/>
    </xf>
  </cellXfs>
  <cellStyles count="3">
    <cellStyle name="Hiperlink" xfId="2" builtinId="8"/>
    <cellStyle name="Normal" xfId="0" builtinId="0"/>
    <cellStyle name="Porcentagem" xfId="1" builtinId="5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10"/>
        <name val="Carlito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Inconsistências Identificadas na Base Cadastral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Analise_Qualidade!$H$4:$H$9</c:f>
              <c:strCache>
                <c:ptCount val="6"/>
                <c:pt idx="0">
                  <c:v>Total de inconsistências</c:v>
                </c:pt>
                <c:pt idx="1">
                  <c:v>Duplicidades</c:v>
                </c:pt>
                <c:pt idx="2">
                  <c:v>Campos vazios</c:v>
                </c:pt>
                <c:pt idx="3">
                  <c:v>Falta de padronização</c:v>
                </c:pt>
                <c:pt idx="4">
                  <c:v>Formato inválido</c:v>
                </c:pt>
                <c:pt idx="5">
                  <c:v>Valores inválidos</c:v>
                </c:pt>
              </c:strCache>
            </c:strRef>
          </c:cat>
          <c:val>
            <c:numRef>
              <c:f>Analise_Qualidade!$I$4:$I$9</c:f>
              <c:numCache>
                <c:formatCode>General</c:formatCode>
                <c:ptCount val="6"/>
                <c:pt idx="0">
                  <c:v>37</c:v>
                </c:pt>
                <c:pt idx="1">
                  <c:v>3</c:v>
                </c:pt>
                <c:pt idx="2">
                  <c:v>10</c:v>
                </c:pt>
                <c:pt idx="3">
                  <c:v>18</c:v>
                </c:pt>
                <c:pt idx="4">
                  <c:v>2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3-420F-9FBC-21D725100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6510992"/>
        <c:axId val="1797134832"/>
      </c:barChart>
      <c:catAx>
        <c:axId val="182651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7134832"/>
        <c:crosses val="autoZero"/>
        <c:auto val="1"/>
        <c:lblAlgn val="ctr"/>
        <c:lblOffset val="100"/>
        <c:noMultiLvlLbl val="0"/>
      </c:catAx>
      <c:valAx>
        <c:axId val="179713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2651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13</xdr:row>
      <xdr:rowOff>144779</xdr:rowOff>
    </xdr:from>
    <xdr:to>
      <xdr:col>12</xdr:col>
      <xdr:colOff>89647</xdr:colOff>
      <xdr:row>29</xdr:row>
      <xdr:rowOff>8964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B5158C-4267-7B99-4CB6-8516062C5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Produtos" displayName="TabelaProdutos" ref="A1:H15" totalsRowShown="0">
  <tableColumns count="8">
    <tableColumn id="1" xr3:uid="{00000000-0010-0000-0000-000001000000}" name="ID Produto" dataDxfId="24"/>
    <tableColumn id="2" xr3:uid="{00000000-0010-0000-0000-000002000000}" name="Produto"/>
    <tableColumn id="3" xr3:uid="{00000000-0010-0000-0000-000003000000}" name="Subcategoria"/>
    <tableColumn id="4" xr3:uid="{00000000-0010-0000-0000-000004000000}" name="Categoria"/>
    <tableColumn id="5" xr3:uid="{00000000-0010-0000-0000-000005000000}" name="Fornecedor"/>
    <tableColumn id="6" xr3:uid="{00000000-0010-0000-0000-000006000000}" name="EAN"/>
    <tableColumn id="7" xr3:uid="{00000000-0010-0000-0000-000007000000}" name="Preço"/>
    <tableColumn id="8" xr3:uid="{00000000-0010-0000-0000-000008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Clientes" displayName="TabelaClientes" ref="A1:H15" totalsRowShown="0">
  <tableColumns count="8">
    <tableColumn id="1" xr3:uid="{00000000-0010-0000-0100-000001000000}" name="ID Cliente"/>
    <tableColumn id="2" xr3:uid="{00000000-0010-0000-0100-000002000000}" name="Nome"/>
    <tableColumn id="3" xr3:uid="{00000000-0010-0000-0100-000003000000}" name="CPF"/>
    <tableColumn id="4" xr3:uid="{00000000-0010-0000-0100-000004000000}" name="E-mail"/>
    <tableColumn id="5" xr3:uid="{00000000-0010-0000-0100-000005000000}" name="Telefone"/>
    <tableColumn id="6" xr3:uid="{00000000-0010-0000-0100-000006000000}" name="Cidade"/>
    <tableColumn id="7" xr3:uid="{00000000-0010-0000-0100-000007000000}" name="UF"/>
    <tableColumn id="8" xr3:uid="{00000000-0010-0000-0100-000008000000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Fornecedores" displayName="TabelaFornecedores" ref="A1:I12" totalsRowShown="0">
  <tableColumns count="9">
    <tableColumn id="1" xr3:uid="{00000000-0010-0000-0200-000001000000}" name="ID Fornecedor"/>
    <tableColumn id="2" xr3:uid="{00000000-0010-0000-0200-000002000000}" name="Razão Social"/>
    <tableColumn id="3" xr3:uid="{00000000-0010-0000-0200-000003000000}" name="CNPJ"/>
    <tableColumn id="4" xr3:uid="{00000000-0010-0000-0200-000004000000}" name="Segmento"/>
    <tableColumn id="5" xr3:uid="{00000000-0010-0000-0200-000005000000}" name="E-mail"/>
    <tableColumn id="6" xr3:uid="{00000000-0010-0000-0200-000006000000}" name="Telefone"/>
    <tableColumn id="7" xr3:uid="{00000000-0010-0000-0200-000007000000}" name="Cidade"/>
    <tableColumn id="8" xr3:uid="{00000000-0010-0000-0200-000008000000}" name="UF"/>
    <tableColumn id="9" xr3:uid="{00000000-0010-0000-02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rla.mendes@e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mailto:contato@printmax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FABIO.COSTA@EMAIL.COM" TargetMode="External"/><Relationship Id="rId1" Type="http://schemas.openxmlformats.org/officeDocument/2006/relationships/hyperlink" Target="mailto:carla.mendes@emai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C17" sqref="C17"/>
    </sheetView>
  </sheetViews>
  <sheetFormatPr defaultRowHeight="13.8"/>
  <cols>
    <col min="1" max="1" width="14" style="9" customWidth="1"/>
    <col min="2" max="2" width="24" customWidth="1"/>
    <col min="3" max="4" width="18" customWidth="1"/>
    <col min="5" max="5" width="22" customWidth="1"/>
    <col min="6" max="6" width="18" customWidth="1"/>
    <col min="7" max="7" width="14" customWidth="1"/>
    <col min="8" max="8" width="12" customWidth="1"/>
  </cols>
  <sheetData>
    <row r="1" spans="1:8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3">
        <v>4299.8999999999996</v>
      </c>
      <c r="H2" s="2" t="s">
        <v>14</v>
      </c>
    </row>
    <row r="3" spans="1:8">
      <c r="A3" s="2" t="s">
        <v>15</v>
      </c>
      <c r="B3" s="2" t="s">
        <v>16</v>
      </c>
      <c r="C3" s="2" t="s">
        <v>17</v>
      </c>
      <c r="D3" s="2" t="s">
        <v>10</v>
      </c>
      <c r="E3" s="2" t="s">
        <v>18</v>
      </c>
      <c r="F3" s="2" t="s">
        <v>19</v>
      </c>
      <c r="G3" s="3">
        <v>89.9</v>
      </c>
      <c r="H3" s="2" t="s">
        <v>14</v>
      </c>
    </row>
    <row r="4" spans="1:8">
      <c r="A4" s="2" t="s">
        <v>20</v>
      </c>
      <c r="B4" s="2" t="s">
        <v>21</v>
      </c>
      <c r="C4" s="2" t="s">
        <v>17</v>
      </c>
      <c r="D4" s="2" t="s">
        <v>10</v>
      </c>
      <c r="E4" s="2" t="s">
        <v>18</v>
      </c>
      <c r="F4" s="2" t="s">
        <v>22</v>
      </c>
      <c r="G4" s="3">
        <v>249.9</v>
      </c>
      <c r="H4" s="2" t="s">
        <v>14</v>
      </c>
    </row>
    <row r="5" spans="1:8">
      <c r="A5" s="2" t="s">
        <v>23</v>
      </c>
      <c r="B5" s="2" t="s">
        <v>24</v>
      </c>
      <c r="C5" s="2" t="s">
        <v>25</v>
      </c>
      <c r="D5" s="2" t="s">
        <v>10</v>
      </c>
      <c r="E5" s="2" t="s">
        <v>26</v>
      </c>
      <c r="F5" s="2" t="s">
        <v>27</v>
      </c>
      <c r="G5" s="3">
        <v>799.9</v>
      </c>
      <c r="H5" s="2" t="s">
        <v>14</v>
      </c>
    </row>
    <row r="6" spans="1:8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  <c r="F6" s="2" t="s">
        <v>33</v>
      </c>
      <c r="G6" s="3">
        <v>649</v>
      </c>
      <c r="H6" s="2" t="s">
        <v>14</v>
      </c>
    </row>
    <row r="7" spans="1:8">
      <c r="A7" s="2" t="s">
        <v>34</v>
      </c>
      <c r="B7" s="2" t="s">
        <v>35</v>
      </c>
      <c r="C7" s="2" t="s">
        <v>17</v>
      </c>
      <c r="D7" s="2" t="s">
        <v>10</v>
      </c>
      <c r="E7" s="2" t="s">
        <v>12</v>
      </c>
      <c r="F7" s="7"/>
      <c r="G7" s="3">
        <v>219.9</v>
      </c>
      <c r="H7" s="2" t="s">
        <v>14</v>
      </c>
    </row>
    <row r="8" spans="1:8">
      <c r="A8" s="2" t="s">
        <v>36</v>
      </c>
      <c r="B8" s="2" t="s">
        <v>37</v>
      </c>
      <c r="C8" s="2" t="s">
        <v>38</v>
      </c>
      <c r="D8" s="2" t="s">
        <v>10</v>
      </c>
      <c r="E8" s="2" t="s">
        <v>18</v>
      </c>
      <c r="F8" s="2" t="s">
        <v>39</v>
      </c>
      <c r="G8" s="3">
        <v>159.9</v>
      </c>
      <c r="H8" s="2" t="s">
        <v>14</v>
      </c>
    </row>
    <row r="9" spans="1:8">
      <c r="A9" s="2" t="s">
        <v>41</v>
      </c>
      <c r="B9" s="2" t="s">
        <v>42</v>
      </c>
      <c r="C9" s="2" t="s">
        <v>43</v>
      </c>
      <c r="D9" s="2" t="s">
        <v>10</v>
      </c>
      <c r="E9" s="2" t="s">
        <v>44</v>
      </c>
      <c r="F9" s="2" t="s">
        <v>45</v>
      </c>
      <c r="G9" s="3">
        <v>399.9</v>
      </c>
      <c r="H9" s="2" t="s">
        <v>14</v>
      </c>
    </row>
    <row r="10" spans="1:8">
      <c r="A10" s="2" t="s">
        <v>46</v>
      </c>
      <c r="B10" s="2" t="s">
        <v>47</v>
      </c>
      <c r="C10" s="2" t="s">
        <v>43</v>
      </c>
      <c r="D10" s="2" t="s">
        <v>10</v>
      </c>
      <c r="E10" s="2" t="s">
        <v>44</v>
      </c>
      <c r="F10" s="2" t="s">
        <v>49</v>
      </c>
      <c r="G10" s="3">
        <v>459.9</v>
      </c>
      <c r="H10" s="2" t="s">
        <v>14</v>
      </c>
    </row>
    <row r="11" spans="1:8">
      <c r="A11" s="2" t="s">
        <v>50</v>
      </c>
      <c r="B11" s="2" t="s">
        <v>51</v>
      </c>
      <c r="C11" s="2" t="s">
        <v>52</v>
      </c>
      <c r="D11" s="2" t="s">
        <v>31</v>
      </c>
      <c r="E11" s="2" t="s">
        <v>53</v>
      </c>
      <c r="F11" s="2" t="s">
        <v>54</v>
      </c>
      <c r="G11" s="3">
        <v>1299.9000000000001</v>
      </c>
      <c r="H11" s="2" t="s">
        <v>55</v>
      </c>
    </row>
    <row r="12" spans="1:8">
      <c r="A12" s="2" t="s">
        <v>56</v>
      </c>
      <c r="B12" s="2" t="s">
        <v>57</v>
      </c>
      <c r="C12" s="2" t="s">
        <v>58</v>
      </c>
      <c r="D12" s="7"/>
      <c r="E12" s="2" t="s">
        <v>18</v>
      </c>
      <c r="F12" s="2" t="s">
        <v>59</v>
      </c>
      <c r="G12" s="3">
        <v>39.9</v>
      </c>
      <c r="H12" s="2" t="s">
        <v>14</v>
      </c>
    </row>
    <row r="13" spans="1:8">
      <c r="A13" s="2" t="s">
        <v>60</v>
      </c>
      <c r="B13" s="2" t="s">
        <v>61</v>
      </c>
      <c r="C13" s="2" t="s">
        <v>17</v>
      </c>
      <c r="D13" s="2" t="s">
        <v>10</v>
      </c>
      <c r="E13" s="7"/>
      <c r="F13" s="2" t="s">
        <v>62</v>
      </c>
      <c r="G13" s="3">
        <v>79.900000000000006</v>
      </c>
      <c r="H13" s="2" t="s">
        <v>14</v>
      </c>
    </row>
    <row r="14" spans="1:8">
      <c r="A14" s="2" t="s">
        <v>63</v>
      </c>
      <c r="B14" s="2" t="s">
        <v>64</v>
      </c>
      <c r="C14" s="2" t="s">
        <v>17</v>
      </c>
      <c r="D14" s="2" t="s">
        <v>31</v>
      </c>
      <c r="E14" s="2" t="s">
        <v>32</v>
      </c>
      <c r="F14" s="2" t="s">
        <v>65</v>
      </c>
      <c r="G14" s="3">
        <v>119.9</v>
      </c>
      <c r="H14" s="2" t="s">
        <v>14</v>
      </c>
    </row>
    <row r="15" spans="1:8">
      <c r="A15" s="2" t="s">
        <v>239</v>
      </c>
      <c r="B15" s="2" t="s">
        <v>67</v>
      </c>
      <c r="C15" s="2" t="s">
        <v>17</v>
      </c>
      <c r="D15" s="2" t="s">
        <v>10</v>
      </c>
      <c r="E15" s="2" t="s">
        <v>12</v>
      </c>
      <c r="F15" s="2" t="s">
        <v>68</v>
      </c>
      <c r="G15" s="3">
        <v>129.9</v>
      </c>
      <c r="H15" s="2" t="s">
        <v>14</v>
      </c>
    </row>
  </sheetData>
  <conditionalFormatting sqref="F1:F1048576">
    <cfRule type="duplicateValues" dxfId="6" priority="2"/>
  </conditionalFormatting>
  <conditionalFormatting sqref="A1 A16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selection activeCell="A8" sqref="A8:H12"/>
    </sheetView>
  </sheetViews>
  <sheetFormatPr defaultRowHeight="13.8"/>
  <cols>
    <col min="1" max="1" width="14" customWidth="1"/>
    <col min="2" max="2" width="22" customWidth="1"/>
    <col min="3" max="3" width="20" customWidth="1"/>
    <col min="4" max="4" width="28" customWidth="1"/>
    <col min="5" max="5" width="18" customWidth="1"/>
    <col min="6" max="6" width="20" customWidth="1"/>
    <col min="7" max="7" width="14" customWidth="1"/>
    <col min="8" max="8" width="12" customWidth="1"/>
  </cols>
  <sheetData>
    <row r="1" spans="1:8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</v>
      </c>
    </row>
    <row r="2" spans="1:8">
      <c r="A2" s="2" t="s">
        <v>76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14</v>
      </c>
    </row>
    <row r="3" spans="1:8">
      <c r="A3" s="2" t="s">
        <v>83</v>
      </c>
      <c r="B3" s="2" t="s">
        <v>84</v>
      </c>
      <c r="C3" s="10" t="s">
        <v>250</v>
      </c>
      <c r="D3" s="2" t="s">
        <v>85</v>
      </c>
      <c r="E3" s="2" t="s">
        <v>86</v>
      </c>
      <c r="F3" s="2" t="s">
        <v>81</v>
      </c>
      <c r="G3" s="2" t="s">
        <v>82</v>
      </c>
      <c r="H3" s="2" t="s">
        <v>14</v>
      </c>
    </row>
    <row r="4" spans="1:8">
      <c r="A4" s="2" t="s">
        <v>87</v>
      </c>
      <c r="B4" s="2" t="s">
        <v>88</v>
      </c>
      <c r="C4" s="2" t="s">
        <v>89</v>
      </c>
      <c r="D4" s="13" t="s">
        <v>258</v>
      </c>
      <c r="E4" s="2" t="s">
        <v>91</v>
      </c>
      <c r="F4" s="2" t="s">
        <v>92</v>
      </c>
      <c r="G4" s="2" t="s">
        <v>82</v>
      </c>
      <c r="H4" s="2" t="s">
        <v>14</v>
      </c>
    </row>
    <row r="5" spans="1:8">
      <c r="A5" s="2" t="s">
        <v>94</v>
      </c>
      <c r="B5" s="2" t="s">
        <v>95</v>
      </c>
      <c r="C5" s="2" t="s">
        <v>96</v>
      </c>
      <c r="D5" s="2" t="s">
        <v>97</v>
      </c>
      <c r="E5" s="7"/>
      <c r="F5" s="2" t="s">
        <v>98</v>
      </c>
      <c r="G5" s="2" t="s">
        <v>82</v>
      </c>
      <c r="H5" s="2" t="s">
        <v>14</v>
      </c>
    </row>
    <row r="6" spans="1:8">
      <c r="A6" s="2" t="s">
        <v>99</v>
      </c>
      <c r="B6" s="2" t="s">
        <v>100</v>
      </c>
      <c r="C6" s="7"/>
      <c r="D6" s="2" t="s">
        <v>101</v>
      </c>
      <c r="E6" s="2" t="s">
        <v>102</v>
      </c>
      <c r="F6" s="2" t="s">
        <v>103</v>
      </c>
      <c r="G6" s="2" t="s">
        <v>104</v>
      </c>
      <c r="H6" s="2" t="s">
        <v>14</v>
      </c>
    </row>
    <row r="7" spans="1:8">
      <c r="A7" s="2" t="s">
        <v>105</v>
      </c>
      <c r="B7" s="2" t="s">
        <v>106</v>
      </c>
      <c r="C7" s="2" t="s">
        <v>107</v>
      </c>
      <c r="D7" s="10" t="s">
        <v>254</v>
      </c>
      <c r="E7" s="2" t="s">
        <v>109</v>
      </c>
      <c r="F7" s="2" t="s">
        <v>81</v>
      </c>
      <c r="G7" s="2" t="s">
        <v>82</v>
      </c>
      <c r="H7" s="10" t="s">
        <v>14</v>
      </c>
    </row>
    <row r="8" spans="1:8">
      <c r="A8" s="2" t="s">
        <v>110</v>
      </c>
      <c r="B8" s="2" t="s">
        <v>111</v>
      </c>
      <c r="C8" s="2" t="s">
        <v>112</v>
      </c>
      <c r="D8" s="2" t="s">
        <v>113</v>
      </c>
      <c r="E8" s="2" t="s">
        <v>114</v>
      </c>
      <c r="F8" s="2" t="s">
        <v>81</v>
      </c>
      <c r="G8" s="2" t="s">
        <v>82</v>
      </c>
      <c r="H8" s="2" t="s">
        <v>14</v>
      </c>
    </row>
    <row r="9" spans="1:8">
      <c r="A9" s="2" t="s">
        <v>115</v>
      </c>
      <c r="B9" s="2" t="s">
        <v>116</v>
      </c>
      <c r="C9" s="2" t="s">
        <v>117</v>
      </c>
      <c r="D9" s="2" t="s">
        <v>118</v>
      </c>
      <c r="E9" s="2" t="s">
        <v>119</v>
      </c>
      <c r="F9" s="2" t="s">
        <v>120</v>
      </c>
      <c r="G9" s="2" t="s">
        <v>82</v>
      </c>
      <c r="H9" s="2" t="s">
        <v>14</v>
      </c>
    </row>
    <row r="10" spans="1:8">
      <c r="A10" s="2" t="s">
        <v>121</v>
      </c>
      <c r="B10" s="2" t="s">
        <v>122</v>
      </c>
      <c r="C10" s="2" t="s">
        <v>123</v>
      </c>
      <c r="D10" s="2" t="s">
        <v>124</v>
      </c>
      <c r="E10" s="2" t="s">
        <v>125</v>
      </c>
      <c r="F10" s="2" t="s">
        <v>81</v>
      </c>
      <c r="G10" s="2" t="s">
        <v>82</v>
      </c>
      <c r="H10" s="2" t="s">
        <v>55</v>
      </c>
    </row>
    <row r="11" spans="1:8">
      <c r="A11" s="2" t="s">
        <v>126</v>
      </c>
      <c r="B11" s="2" t="s">
        <v>127</v>
      </c>
      <c r="C11" s="2" t="s">
        <v>128</v>
      </c>
      <c r="D11" s="2" t="s">
        <v>129</v>
      </c>
      <c r="E11" s="2" t="s">
        <v>130</v>
      </c>
      <c r="F11" s="2" t="s">
        <v>81</v>
      </c>
      <c r="G11" s="2" t="s">
        <v>82</v>
      </c>
      <c r="H11" s="2" t="s">
        <v>14</v>
      </c>
    </row>
    <row r="12" spans="1:8">
      <c r="A12" s="2" t="s">
        <v>131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81</v>
      </c>
      <c r="G12" s="2" t="s">
        <v>82</v>
      </c>
      <c r="H12" s="2" t="s">
        <v>14</v>
      </c>
    </row>
    <row r="13" spans="1:8">
      <c r="A13" s="2" t="s">
        <v>136</v>
      </c>
      <c r="B13" s="2" t="s">
        <v>137</v>
      </c>
      <c r="C13" s="2" t="s">
        <v>138</v>
      </c>
      <c r="D13" s="2" t="s">
        <v>139</v>
      </c>
      <c r="E13" s="2" t="s">
        <v>140</v>
      </c>
      <c r="F13" s="2" t="s">
        <v>141</v>
      </c>
      <c r="G13" s="2" t="s">
        <v>82</v>
      </c>
      <c r="H13" s="7"/>
    </row>
    <row r="14" spans="1:8">
      <c r="A14" s="10" t="s">
        <v>263</v>
      </c>
      <c r="B14" s="2" t="s">
        <v>143</v>
      </c>
      <c r="C14" s="2" t="s">
        <v>144</v>
      </c>
      <c r="D14" s="2" t="s">
        <v>145</v>
      </c>
      <c r="E14" s="2" t="s">
        <v>146</v>
      </c>
      <c r="F14" s="2" t="s">
        <v>81</v>
      </c>
      <c r="G14" s="2" t="s">
        <v>82</v>
      </c>
      <c r="H14" s="2" t="s">
        <v>14</v>
      </c>
    </row>
    <row r="15" spans="1:8">
      <c r="A15" s="2" t="s">
        <v>147</v>
      </c>
      <c r="B15" s="2" t="s">
        <v>148</v>
      </c>
      <c r="C15" s="2" t="s">
        <v>149</v>
      </c>
      <c r="D15" s="2" t="s">
        <v>150</v>
      </c>
      <c r="E15" s="10"/>
      <c r="F15" s="2" t="s">
        <v>81</v>
      </c>
      <c r="G15" s="2" t="s">
        <v>82</v>
      </c>
      <c r="H15" s="2" t="s">
        <v>14</v>
      </c>
    </row>
  </sheetData>
  <conditionalFormatting sqref="A1:A1048576">
    <cfRule type="duplicateValues" dxfId="4" priority="1"/>
  </conditionalFormatting>
  <hyperlinks>
    <hyperlink ref="D4" r:id="rId1" xr:uid="{DA82E1B5-1F43-4438-A0EA-C2C46F2440A5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"/>
  <sheetViews>
    <sheetView workbookViewId="0">
      <selection activeCell="A2" sqref="A2:XFD3"/>
    </sheetView>
  </sheetViews>
  <sheetFormatPr defaultRowHeight="13.8"/>
  <cols>
    <col min="1" max="1" width="16" customWidth="1"/>
    <col min="2" max="2" width="24" customWidth="1"/>
    <col min="3" max="3" width="22" customWidth="1"/>
    <col min="4" max="4" width="18" customWidth="1"/>
    <col min="5" max="5" width="28" customWidth="1"/>
    <col min="6" max="6" width="18" customWidth="1"/>
    <col min="7" max="7" width="20" customWidth="1"/>
    <col min="8" max="8" width="14" customWidth="1"/>
    <col min="9" max="9" width="12" customWidth="1"/>
  </cols>
  <sheetData>
    <row r="1" spans="1:9">
      <c r="A1" s="1" t="s">
        <v>152</v>
      </c>
      <c r="B1" s="1" t="s">
        <v>153</v>
      </c>
      <c r="C1" s="1" t="s">
        <v>154</v>
      </c>
      <c r="D1" s="1" t="s">
        <v>155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</v>
      </c>
    </row>
    <row r="2" spans="1:9">
      <c r="A2" s="2" t="s">
        <v>156</v>
      </c>
      <c r="B2" s="2" t="s">
        <v>12</v>
      </c>
      <c r="C2" s="2" t="s">
        <v>157</v>
      </c>
      <c r="D2" s="10" t="s">
        <v>162</v>
      </c>
      <c r="E2" s="2" t="s">
        <v>158</v>
      </c>
      <c r="F2" s="2" t="s">
        <v>159</v>
      </c>
      <c r="G2" s="2" t="s">
        <v>81</v>
      </c>
      <c r="H2" s="2" t="s">
        <v>82</v>
      </c>
      <c r="I2" s="2" t="s">
        <v>14</v>
      </c>
    </row>
    <row r="3" spans="1:9">
      <c r="A3" s="2" t="s">
        <v>160</v>
      </c>
      <c r="B3" s="2" t="s">
        <v>18</v>
      </c>
      <c r="C3" s="2" t="s">
        <v>161</v>
      </c>
      <c r="D3" s="2" t="s">
        <v>162</v>
      </c>
      <c r="E3" s="2" t="s">
        <v>163</v>
      </c>
      <c r="F3" s="2" t="s">
        <v>164</v>
      </c>
      <c r="G3" s="2" t="s">
        <v>81</v>
      </c>
      <c r="H3" s="2" t="s">
        <v>82</v>
      </c>
      <c r="I3" s="2" t="s">
        <v>14</v>
      </c>
    </row>
    <row r="4" spans="1:9">
      <c r="A4" s="2" t="s">
        <v>165</v>
      </c>
      <c r="B4" s="2" t="s">
        <v>26</v>
      </c>
      <c r="C4" s="2" t="s">
        <v>166</v>
      </c>
      <c r="D4" s="10" t="s">
        <v>162</v>
      </c>
      <c r="E4" s="2" t="s">
        <v>167</v>
      </c>
      <c r="F4" s="2" t="s">
        <v>168</v>
      </c>
      <c r="G4" s="2" t="s">
        <v>98</v>
      </c>
      <c r="H4" s="2" t="s">
        <v>82</v>
      </c>
      <c r="I4" s="2" t="s">
        <v>14</v>
      </c>
    </row>
    <row r="5" spans="1:9">
      <c r="A5" s="2" t="s">
        <v>169</v>
      </c>
      <c r="B5" s="2" t="s">
        <v>32</v>
      </c>
      <c r="C5" s="2" t="s">
        <v>170</v>
      </c>
      <c r="D5" s="2" t="s">
        <v>30</v>
      </c>
      <c r="E5" s="2" t="s">
        <v>171</v>
      </c>
      <c r="F5" s="2" t="s">
        <v>172</v>
      </c>
      <c r="G5" s="2" t="s">
        <v>81</v>
      </c>
      <c r="H5" s="2" t="s">
        <v>82</v>
      </c>
      <c r="I5" s="2" t="s">
        <v>14</v>
      </c>
    </row>
    <row r="6" spans="1:9">
      <c r="A6" s="2" t="s">
        <v>173</v>
      </c>
      <c r="B6" s="2" t="s">
        <v>44</v>
      </c>
      <c r="C6" s="2" t="s">
        <v>174</v>
      </c>
      <c r="D6" s="2" t="s">
        <v>162</v>
      </c>
      <c r="E6" s="2" t="s">
        <v>175</v>
      </c>
      <c r="F6" s="14"/>
      <c r="G6" s="2" t="s">
        <v>176</v>
      </c>
      <c r="H6" s="2" t="s">
        <v>82</v>
      </c>
      <c r="I6" s="2" t="s">
        <v>14</v>
      </c>
    </row>
    <row r="7" spans="1:9">
      <c r="A7" s="2" t="s">
        <v>177</v>
      </c>
      <c r="B7" s="2" t="s">
        <v>53</v>
      </c>
      <c r="C7" s="2" t="s">
        <v>178</v>
      </c>
      <c r="D7" s="2" t="s">
        <v>179</v>
      </c>
      <c r="E7" s="16" t="s">
        <v>271</v>
      </c>
      <c r="F7" s="2" t="s">
        <v>181</v>
      </c>
      <c r="G7" s="2" t="s">
        <v>81</v>
      </c>
      <c r="H7" s="2" t="s">
        <v>82</v>
      </c>
      <c r="I7" s="2" t="s">
        <v>14</v>
      </c>
    </row>
    <row r="8" spans="1:9">
      <c r="A8" s="2" t="s">
        <v>182</v>
      </c>
      <c r="B8" s="2" t="s">
        <v>183</v>
      </c>
      <c r="C8" s="14"/>
      <c r="D8" s="2" t="s">
        <v>31</v>
      </c>
      <c r="E8" s="2" t="s">
        <v>184</v>
      </c>
      <c r="F8" s="2" t="s">
        <v>185</v>
      </c>
      <c r="G8" s="2" t="s">
        <v>81</v>
      </c>
      <c r="H8" s="2" t="s">
        <v>82</v>
      </c>
      <c r="I8" s="2" t="s">
        <v>14</v>
      </c>
    </row>
    <row r="9" spans="1:9">
      <c r="A9" s="2" t="s">
        <v>186</v>
      </c>
      <c r="B9" s="2" t="s">
        <v>187</v>
      </c>
      <c r="C9" s="2" t="s">
        <v>188</v>
      </c>
      <c r="D9" s="14"/>
      <c r="E9" s="2" t="s">
        <v>189</v>
      </c>
      <c r="F9" s="2" t="s">
        <v>190</v>
      </c>
      <c r="G9" s="2" t="s">
        <v>120</v>
      </c>
      <c r="H9" s="2" t="s">
        <v>82</v>
      </c>
      <c r="I9" s="2" t="s">
        <v>14</v>
      </c>
    </row>
    <row r="10" spans="1:9">
      <c r="A10" s="2" t="s">
        <v>191</v>
      </c>
      <c r="B10" s="2" t="s">
        <v>192</v>
      </c>
      <c r="C10" s="2" t="s">
        <v>193</v>
      </c>
      <c r="D10" s="2" t="s">
        <v>162</v>
      </c>
      <c r="E10" s="2" t="s">
        <v>194</v>
      </c>
      <c r="F10" s="2" t="s">
        <v>195</v>
      </c>
      <c r="G10" s="2" t="s">
        <v>92</v>
      </c>
      <c r="H10" s="10" t="s">
        <v>82</v>
      </c>
      <c r="I10" s="10" t="s">
        <v>14</v>
      </c>
    </row>
    <row r="11" spans="1:9" s="15" customFormat="1">
      <c r="A11" s="10" t="s">
        <v>196</v>
      </c>
      <c r="B11" s="10" t="s">
        <v>197</v>
      </c>
      <c r="C11" s="10" t="s">
        <v>198</v>
      </c>
      <c r="D11" s="10" t="s">
        <v>199</v>
      </c>
      <c r="E11" s="10" t="s">
        <v>200</v>
      </c>
      <c r="F11" s="10" t="s">
        <v>201</v>
      </c>
      <c r="G11" s="10" t="s">
        <v>81</v>
      </c>
      <c r="H11" s="10" t="s">
        <v>82</v>
      </c>
      <c r="I11" s="10" t="s">
        <v>55</v>
      </c>
    </row>
    <row r="12" spans="1:9">
      <c r="A12" s="2" t="s">
        <v>202</v>
      </c>
      <c r="B12" s="2" t="s">
        <v>203</v>
      </c>
      <c r="C12" s="2" t="s">
        <v>204</v>
      </c>
      <c r="D12" s="2" t="s">
        <v>162</v>
      </c>
      <c r="E12" s="2" t="s">
        <v>205</v>
      </c>
      <c r="F12" s="2" t="s">
        <v>206</v>
      </c>
      <c r="G12" s="2" t="s">
        <v>81</v>
      </c>
      <c r="H12" s="2" t="s">
        <v>82</v>
      </c>
      <c r="I12" s="2" t="s">
        <v>14</v>
      </c>
    </row>
  </sheetData>
  <conditionalFormatting sqref="A1:A1048576">
    <cfRule type="duplicateValues" dxfId="3" priority="1"/>
  </conditionalFormatting>
  <hyperlinks>
    <hyperlink ref="E7" r:id="rId1" xr:uid="{847569FE-3B55-477C-8C99-CCF02C1A00F5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>
      <selection sqref="A1:F1"/>
    </sheetView>
  </sheetViews>
  <sheetFormatPr defaultRowHeight="13.8"/>
  <cols>
    <col min="1" max="1" width="85" customWidth="1"/>
  </cols>
  <sheetData>
    <row r="1" spans="1:6" ht="21">
      <c r="A1" s="5" t="s">
        <v>207</v>
      </c>
      <c r="B1" s="6"/>
      <c r="C1" s="6"/>
      <c r="D1" s="6"/>
      <c r="E1" s="6"/>
      <c r="F1" s="6"/>
    </row>
    <row r="3" spans="1:6" ht="16.8">
      <c r="A3" s="4" t="s">
        <v>208</v>
      </c>
    </row>
    <row r="4" spans="1:6">
      <c r="A4" s="2" t="s">
        <v>209</v>
      </c>
    </row>
    <row r="5" spans="1:6" ht="27.6">
      <c r="A5" s="2" t="s">
        <v>210</v>
      </c>
    </row>
    <row r="6" spans="1:6">
      <c r="A6" s="2" t="s">
        <v>211</v>
      </c>
    </row>
    <row r="7" spans="1:6">
      <c r="A7" s="2"/>
    </row>
    <row r="8" spans="1:6" ht="16.8">
      <c r="A8" s="4" t="s">
        <v>212</v>
      </c>
    </row>
    <row r="9" spans="1:6">
      <c r="A9" s="2" t="s">
        <v>213</v>
      </c>
    </row>
    <row r="10" spans="1:6">
      <c r="A10" s="2" t="s">
        <v>214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FF3D-425B-427E-9F1F-56E0EF360A12}">
  <dimension ref="A1:AD249"/>
  <sheetViews>
    <sheetView topLeftCell="A11" zoomScale="85" zoomScaleNormal="85" workbookViewId="0">
      <selection activeCell="A40" sqref="A40"/>
    </sheetView>
  </sheetViews>
  <sheetFormatPr defaultRowHeight="13.8"/>
  <cols>
    <col min="1" max="1" width="32.19921875" bestFit="1" customWidth="1"/>
    <col min="2" max="2" width="19.59765625" bestFit="1" customWidth="1"/>
    <col min="3" max="3" width="10.59765625" bestFit="1" customWidth="1"/>
    <col min="4" max="4" width="10.19921875" bestFit="1" customWidth="1"/>
    <col min="5" max="5" width="27.296875" bestFit="1" customWidth="1"/>
    <col min="6" max="6" width="30.796875" bestFit="1" customWidth="1"/>
    <col min="7" max="7" width="3.5" customWidth="1"/>
    <col min="8" max="8" width="27.09765625" bestFit="1" customWidth="1"/>
  </cols>
  <sheetData>
    <row r="1" spans="1:30" ht="29.4" customHeight="1">
      <c r="A1" s="34" t="s">
        <v>215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</row>
    <row r="2" spans="1:30" ht="10.199999999999999" customHeight="1">
      <c r="A2" s="17"/>
      <c r="B2" s="17"/>
      <c r="C2" s="17"/>
      <c r="D2" s="17"/>
      <c r="E2" s="17"/>
      <c r="F2" s="23"/>
      <c r="G2" s="23"/>
      <c r="H2" s="23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spans="1:30" ht="27.6">
      <c r="A3" s="34" t="s">
        <v>216</v>
      </c>
      <c r="B3" s="35" t="s">
        <v>217</v>
      </c>
      <c r="C3" s="35" t="s">
        <v>218</v>
      </c>
      <c r="D3" s="35" t="s">
        <v>219</v>
      </c>
      <c r="E3" s="35" t="s">
        <v>220</v>
      </c>
      <c r="F3" s="35" t="s">
        <v>221</v>
      </c>
      <c r="G3" s="37"/>
      <c r="H3" s="36" t="s">
        <v>272</v>
      </c>
      <c r="I3" s="36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</row>
    <row r="4" spans="1:30">
      <c r="A4" s="19" t="s">
        <v>222</v>
      </c>
      <c r="B4" s="12" t="s">
        <v>223</v>
      </c>
      <c r="C4" s="12" t="s">
        <v>0</v>
      </c>
      <c r="D4" s="12">
        <v>1</v>
      </c>
      <c r="E4" s="12" t="s">
        <v>50</v>
      </c>
      <c r="F4" s="29" t="s">
        <v>224</v>
      </c>
      <c r="G4" s="22"/>
      <c r="H4" s="32" t="s">
        <v>273</v>
      </c>
      <c r="I4" s="29">
        <f>SUM(D:D)</f>
        <v>37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</row>
    <row r="5" spans="1:30">
      <c r="A5" s="20" t="s">
        <v>222</v>
      </c>
      <c r="B5" s="11" t="s">
        <v>225</v>
      </c>
      <c r="C5" s="11" t="s">
        <v>5</v>
      </c>
      <c r="D5" s="11">
        <v>1</v>
      </c>
      <c r="E5" s="11" t="s">
        <v>226</v>
      </c>
      <c r="F5" s="30" t="s">
        <v>229</v>
      </c>
      <c r="G5" s="27"/>
      <c r="H5" s="33" t="s">
        <v>274</v>
      </c>
      <c r="I5" s="30">
        <f>SUMIF(B:B,"Duplicidade",D:D)</f>
        <v>3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</row>
    <row r="6" spans="1:30">
      <c r="A6" s="19" t="s">
        <v>222</v>
      </c>
      <c r="B6" s="12" t="s">
        <v>225</v>
      </c>
      <c r="C6" s="12" t="s">
        <v>3</v>
      </c>
      <c r="D6" s="12">
        <v>1</v>
      </c>
      <c r="E6" s="12" t="s">
        <v>227</v>
      </c>
      <c r="F6" s="29" t="s">
        <v>230</v>
      </c>
      <c r="G6" s="26"/>
      <c r="H6" s="32" t="s">
        <v>275</v>
      </c>
      <c r="I6" s="29">
        <f>SUMIF(B:B,"Campo vazio",D:D)</f>
        <v>10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</row>
    <row r="7" spans="1:30">
      <c r="A7" s="20" t="s">
        <v>222</v>
      </c>
      <c r="B7" s="11" t="s">
        <v>225</v>
      </c>
      <c r="C7" s="11" t="s">
        <v>4</v>
      </c>
      <c r="D7" s="11">
        <v>1</v>
      </c>
      <c r="E7" s="11" t="s">
        <v>228</v>
      </c>
      <c r="F7" s="30" t="s">
        <v>231</v>
      </c>
      <c r="G7" s="27"/>
      <c r="H7" s="31" t="s">
        <v>232</v>
      </c>
      <c r="I7" s="30">
        <f>SUMIF(B:B,"Falta de padronização",D:D)</f>
        <v>18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</row>
    <row r="8" spans="1:30">
      <c r="A8" s="19" t="s">
        <v>222</v>
      </c>
      <c r="B8" s="12" t="s">
        <v>232</v>
      </c>
      <c r="C8" s="12" t="s">
        <v>3</v>
      </c>
      <c r="D8" s="12">
        <v>2</v>
      </c>
      <c r="E8" s="12" t="s">
        <v>233</v>
      </c>
      <c r="F8" s="29" t="s">
        <v>234</v>
      </c>
      <c r="G8" s="26"/>
      <c r="H8" s="32" t="s">
        <v>251</v>
      </c>
      <c r="I8" s="29">
        <f>SUMIF(B:B,"Formato inválido",D:D)</f>
        <v>2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</row>
    <row r="9" spans="1:30">
      <c r="A9" s="20" t="s">
        <v>222</v>
      </c>
      <c r="B9" s="11" t="s">
        <v>232</v>
      </c>
      <c r="C9" s="11" t="s">
        <v>7</v>
      </c>
      <c r="D9" s="11">
        <v>3</v>
      </c>
      <c r="E9" s="11" t="s">
        <v>236</v>
      </c>
      <c r="F9" s="30" t="s">
        <v>237</v>
      </c>
      <c r="G9" s="26"/>
      <c r="H9" s="32" t="s">
        <v>276</v>
      </c>
      <c r="I9" s="29">
        <f>SUMIF(B:B,"Valor inválido",D:D)</f>
        <v>3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</row>
    <row r="10" spans="1:30">
      <c r="A10" s="19" t="s">
        <v>222</v>
      </c>
      <c r="B10" s="12" t="s">
        <v>232</v>
      </c>
      <c r="C10" s="12" t="s">
        <v>0</v>
      </c>
      <c r="D10" s="12">
        <v>1</v>
      </c>
      <c r="E10" s="12" t="s">
        <v>66</v>
      </c>
      <c r="F10" s="29" t="s">
        <v>238</v>
      </c>
      <c r="G10" s="27"/>
      <c r="H10" s="31" t="s">
        <v>280</v>
      </c>
      <c r="I10" s="30">
        <f>SUMIF(B:B,"Valor inconsistente",D:D)</f>
        <v>1</v>
      </c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</row>
    <row r="11" spans="1:30">
      <c r="A11" s="20" t="s">
        <v>222</v>
      </c>
      <c r="B11" s="11" t="s">
        <v>232</v>
      </c>
      <c r="C11" s="11" t="s">
        <v>4</v>
      </c>
      <c r="D11" s="11">
        <v>1</v>
      </c>
      <c r="E11" s="11" t="s">
        <v>48</v>
      </c>
      <c r="F11" s="30" t="s">
        <v>240</v>
      </c>
      <c r="G11" s="26"/>
      <c r="H11" s="32" t="s">
        <v>277</v>
      </c>
      <c r="I11" s="29">
        <v>42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</row>
    <row r="12" spans="1:30">
      <c r="A12" s="19" t="s">
        <v>222</v>
      </c>
      <c r="B12" s="12" t="s">
        <v>241</v>
      </c>
      <c r="C12" s="12" t="s">
        <v>6</v>
      </c>
      <c r="D12" s="12">
        <v>1</v>
      </c>
      <c r="E12" s="12" t="s">
        <v>242</v>
      </c>
      <c r="F12" s="29" t="s">
        <v>243</v>
      </c>
      <c r="G12" s="27"/>
      <c r="H12" s="21" t="s">
        <v>278</v>
      </c>
      <c r="I12" s="28">
        <f>SUM(D:D)</f>
        <v>37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</row>
    <row r="13" spans="1:30">
      <c r="A13" s="20" t="s">
        <v>244</v>
      </c>
      <c r="B13" s="11" t="s">
        <v>223</v>
      </c>
      <c r="C13" s="11" t="s">
        <v>69</v>
      </c>
      <c r="D13" s="11">
        <v>1</v>
      </c>
      <c r="E13" s="11" t="s">
        <v>126</v>
      </c>
      <c r="F13" s="30" t="s">
        <v>224</v>
      </c>
      <c r="G13" s="26"/>
      <c r="H13" s="25" t="s">
        <v>279</v>
      </c>
      <c r="I13" s="38">
        <f>I12/I11</f>
        <v>0.88095238095238093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</row>
    <row r="14" spans="1:30">
      <c r="A14" s="19" t="s">
        <v>244</v>
      </c>
      <c r="B14" s="12" t="s">
        <v>225</v>
      </c>
      <c r="C14" s="12" t="s">
        <v>71</v>
      </c>
      <c r="D14" s="12">
        <v>1</v>
      </c>
      <c r="E14" s="12" t="s">
        <v>245</v>
      </c>
      <c r="F14" s="29" t="s">
        <v>229</v>
      </c>
      <c r="G14" s="17"/>
      <c r="H14" s="18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</row>
    <row r="15" spans="1:30">
      <c r="A15" s="20" t="s">
        <v>244</v>
      </c>
      <c r="B15" s="11" t="s">
        <v>225</v>
      </c>
      <c r="C15" s="11" t="s">
        <v>73</v>
      </c>
      <c r="D15" s="11">
        <v>1</v>
      </c>
      <c r="E15" s="11" t="s">
        <v>246</v>
      </c>
      <c r="F15" s="30" t="s">
        <v>229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</row>
    <row r="16" spans="1:30">
      <c r="A16" s="19" t="s">
        <v>244</v>
      </c>
      <c r="B16" s="12" t="s">
        <v>225</v>
      </c>
      <c r="C16" s="12" t="s">
        <v>74</v>
      </c>
      <c r="D16" s="12">
        <v>1</v>
      </c>
      <c r="E16" s="12" t="s">
        <v>247</v>
      </c>
      <c r="F16" s="29" t="s">
        <v>229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</row>
    <row r="17" spans="1:30">
      <c r="A17" s="20" t="s">
        <v>244</v>
      </c>
      <c r="B17" s="11" t="s">
        <v>225</v>
      </c>
      <c r="C17" s="11" t="s">
        <v>7</v>
      </c>
      <c r="D17" s="11">
        <v>1</v>
      </c>
      <c r="E17" s="11" t="s">
        <v>248</v>
      </c>
      <c r="F17" s="30" t="s">
        <v>229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</row>
    <row r="18" spans="1:30">
      <c r="A18" s="19" t="s">
        <v>244</v>
      </c>
      <c r="B18" s="12" t="s">
        <v>232</v>
      </c>
      <c r="C18" s="12" t="s">
        <v>71</v>
      </c>
      <c r="D18" s="12">
        <v>1</v>
      </c>
      <c r="E18" s="12">
        <v>98765432100</v>
      </c>
      <c r="F18" s="29" t="s">
        <v>249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</row>
    <row r="19" spans="1:30">
      <c r="A19" s="20" t="s">
        <v>244</v>
      </c>
      <c r="B19" s="11" t="s">
        <v>251</v>
      </c>
      <c r="C19" s="11" t="s">
        <v>72</v>
      </c>
      <c r="D19" s="11">
        <v>1</v>
      </c>
      <c r="E19" s="11" t="s">
        <v>90</v>
      </c>
      <c r="F19" s="30" t="s">
        <v>252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</row>
    <row r="20" spans="1:30">
      <c r="A20" s="19" t="s">
        <v>244</v>
      </c>
      <c r="B20" s="12" t="s">
        <v>232</v>
      </c>
      <c r="C20" s="12" t="s">
        <v>72</v>
      </c>
      <c r="D20" s="12">
        <v>1</v>
      </c>
      <c r="E20" s="12" t="s">
        <v>108</v>
      </c>
      <c r="F20" s="29" t="s">
        <v>253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>
      <c r="A21" s="20" t="s">
        <v>244</v>
      </c>
      <c r="B21" s="11" t="s">
        <v>232</v>
      </c>
      <c r="C21" s="11" t="s">
        <v>73</v>
      </c>
      <c r="D21" s="11">
        <v>2</v>
      </c>
      <c r="E21" s="11" t="s">
        <v>255</v>
      </c>
      <c r="F21" s="30" t="s">
        <v>256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>
      <c r="A22" s="19" t="s">
        <v>244</v>
      </c>
      <c r="B22" s="12" t="s">
        <v>241</v>
      </c>
      <c r="C22" s="12" t="s">
        <v>73</v>
      </c>
      <c r="D22" s="12">
        <v>1</v>
      </c>
      <c r="E22" s="12" t="s">
        <v>151</v>
      </c>
      <c r="F22" s="29" t="s">
        <v>257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>
      <c r="A23" s="20" t="s">
        <v>244</v>
      </c>
      <c r="B23" s="11" t="s">
        <v>232</v>
      </c>
      <c r="C23" s="11" t="s">
        <v>75</v>
      </c>
      <c r="D23" s="11">
        <v>1</v>
      </c>
      <c r="E23" s="11" t="s">
        <v>93</v>
      </c>
      <c r="F23" s="30" t="s">
        <v>259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>
      <c r="A24" s="19" t="s">
        <v>244</v>
      </c>
      <c r="B24" s="12" t="s">
        <v>261</v>
      </c>
      <c r="C24" s="12" t="s">
        <v>75</v>
      </c>
      <c r="D24" s="12">
        <v>1</v>
      </c>
      <c r="E24" s="12" t="s">
        <v>81</v>
      </c>
      <c r="F24" s="29" t="s">
        <v>260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>
      <c r="A25" s="20" t="s">
        <v>244</v>
      </c>
      <c r="B25" s="11" t="s">
        <v>232</v>
      </c>
      <c r="C25" s="11" t="s">
        <v>69</v>
      </c>
      <c r="D25" s="11">
        <v>1</v>
      </c>
      <c r="E25" s="11" t="s">
        <v>142</v>
      </c>
      <c r="F25" s="30" t="s">
        <v>262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</row>
    <row r="26" spans="1:30">
      <c r="A26" s="19" t="s">
        <v>244</v>
      </c>
      <c r="B26" s="12" t="s">
        <v>232</v>
      </c>
      <c r="C26" s="12" t="s">
        <v>7</v>
      </c>
      <c r="D26" s="12">
        <v>1</v>
      </c>
      <c r="E26" s="12" t="s">
        <v>40</v>
      </c>
      <c r="F26" s="29" t="s">
        <v>235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>
      <c r="A27" s="20" t="s">
        <v>264</v>
      </c>
      <c r="B27" s="11" t="s">
        <v>225</v>
      </c>
      <c r="C27" s="11" t="s">
        <v>154</v>
      </c>
      <c r="D27" s="11">
        <v>1</v>
      </c>
      <c r="E27" s="11" t="s">
        <v>265</v>
      </c>
      <c r="F27" s="30" t="s">
        <v>229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</row>
    <row r="28" spans="1:30">
      <c r="A28" s="19" t="s">
        <v>264</v>
      </c>
      <c r="B28" s="12" t="s">
        <v>225</v>
      </c>
      <c r="C28" s="12" t="s">
        <v>73</v>
      </c>
      <c r="D28" s="12">
        <v>1</v>
      </c>
      <c r="E28" s="12" t="s">
        <v>266</v>
      </c>
      <c r="F28" s="29" t="s">
        <v>229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>
      <c r="A29" s="20" t="s">
        <v>264</v>
      </c>
      <c r="B29" s="11" t="s">
        <v>225</v>
      </c>
      <c r="C29" s="11" t="s">
        <v>155</v>
      </c>
      <c r="D29" s="11">
        <v>1</v>
      </c>
      <c r="E29" s="11" t="s">
        <v>267</v>
      </c>
      <c r="F29" s="30" t="s">
        <v>229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</row>
    <row r="30" spans="1:30">
      <c r="A30" s="19" t="s">
        <v>264</v>
      </c>
      <c r="B30" s="12" t="s">
        <v>232</v>
      </c>
      <c r="C30" s="12" t="s">
        <v>155</v>
      </c>
      <c r="D30" s="12">
        <v>1</v>
      </c>
      <c r="E30" s="12" t="s">
        <v>268</v>
      </c>
      <c r="F30" s="29" t="s">
        <v>269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>
      <c r="A31" s="20" t="s">
        <v>264</v>
      </c>
      <c r="B31" s="11" t="s">
        <v>232</v>
      </c>
      <c r="C31" s="11" t="s">
        <v>74</v>
      </c>
      <c r="D31" s="11">
        <v>1</v>
      </c>
      <c r="E31" s="11" t="s">
        <v>92</v>
      </c>
      <c r="F31" s="30" t="s">
        <v>270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</row>
    <row r="32" spans="1:30">
      <c r="A32" s="19" t="s">
        <v>264</v>
      </c>
      <c r="B32" s="12" t="s">
        <v>232</v>
      </c>
      <c r="C32" s="12" t="s">
        <v>75</v>
      </c>
      <c r="D32" s="12">
        <v>1</v>
      </c>
      <c r="E32" s="12" t="s">
        <v>93</v>
      </c>
      <c r="F32" s="29" t="s">
        <v>259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</row>
    <row r="33" spans="1:30">
      <c r="A33" s="20" t="s">
        <v>264</v>
      </c>
      <c r="B33" s="11" t="s">
        <v>232</v>
      </c>
      <c r="C33" s="11" t="s">
        <v>7</v>
      </c>
      <c r="D33" s="11">
        <v>1</v>
      </c>
      <c r="E33" s="11" t="s">
        <v>40</v>
      </c>
      <c r="F33" s="30" t="s">
        <v>235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</row>
    <row r="34" spans="1:30">
      <c r="A34" s="19" t="s">
        <v>264</v>
      </c>
      <c r="B34" s="12" t="s">
        <v>251</v>
      </c>
      <c r="C34" s="12" t="s">
        <v>72</v>
      </c>
      <c r="D34" s="12">
        <v>1</v>
      </c>
      <c r="E34" s="12" t="s">
        <v>180</v>
      </c>
      <c r="F34" s="29" t="s">
        <v>257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</row>
    <row r="35" spans="1:30">
      <c r="A35" s="20" t="s">
        <v>264</v>
      </c>
      <c r="B35" s="11" t="s">
        <v>241</v>
      </c>
      <c r="C35" s="11" t="s">
        <v>73</v>
      </c>
      <c r="D35" s="11">
        <v>1</v>
      </c>
      <c r="E35" s="11" t="s">
        <v>206</v>
      </c>
      <c r="F35" s="30" t="s">
        <v>257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</row>
    <row r="36" spans="1:30">
      <c r="A36" s="19" t="s">
        <v>264</v>
      </c>
      <c r="B36" s="12" t="s">
        <v>223</v>
      </c>
      <c r="C36" s="12" t="s">
        <v>0</v>
      </c>
      <c r="D36" s="12">
        <v>1</v>
      </c>
      <c r="E36" s="12" t="s">
        <v>281</v>
      </c>
      <c r="F36" s="29" t="s">
        <v>224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</row>
    <row r="37" spans="1:30">
      <c r="A37" s="17"/>
      <c r="B37" s="17"/>
      <c r="C37" s="17"/>
      <c r="D37" s="17"/>
      <c r="E37" s="17"/>
      <c r="F37" s="24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</row>
    <row r="41" spans="1:30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</row>
    <row r="43" spans="1:30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</row>
    <row r="45" spans="1:30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</row>
    <row r="46" spans="1:30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</row>
    <row r="50" spans="1:3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</row>
    <row r="55" spans="1:30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</row>
    <row r="56" spans="1:30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</row>
    <row r="57" spans="1:30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</row>
    <row r="61" spans="1:30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</row>
    <row r="62" spans="1:30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</row>
    <row r="63" spans="1:30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</row>
    <row r="65" spans="1:30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</row>
    <row r="66" spans="1:30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</row>
    <row r="67" spans="1:30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</row>
    <row r="69" spans="1:30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</row>
    <row r="70" spans="1:3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</row>
    <row r="71" spans="1:30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</row>
    <row r="72" spans="1:30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</row>
    <row r="73" spans="1:30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</row>
    <row r="74" spans="1:30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</row>
    <row r="75" spans="1:30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</row>
    <row r="76" spans="1:30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</row>
    <row r="77" spans="1:30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</row>
    <row r="78" spans="1:30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</row>
    <row r="79" spans="1:30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</row>
    <row r="80" spans="1:3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</row>
    <row r="81" spans="1:30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</row>
    <row r="82" spans="1:30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</row>
    <row r="83" spans="1:30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</row>
    <row r="84" spans="1:30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</row>
    <row r="85" spans="1:30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</row>
    <row r="86" spans="1:30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</row>
    <row r="87" spans="1:30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</row>
    <row r="88" spans="1:30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</row>
    <row r="89" spans="1:30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</row>
    <row r="90" spans="1:3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</row>
    <row r="91" spans="1:30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</row>
    <row r="92" spans="1:30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</row>
    <row r="93" spans="1:30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</row>
    <row r="94" spans="1:30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</row>
    <row r="95" spans="1:30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</row>
    <row r="96" spans="1:30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</row>
    <row r="97" spans="1:30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</row>
    <row r="98" spans="1:30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</row>
    <row r="99" spans="1:30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</row>
    <row r="100" spans="1:3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</row>
    <row r="101" spans="1:30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</row>
    <row r="102" spans="1:30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</row>
    <row r="103" spans="1:30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</row>
    <row r="104" spans="1:30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</row>
    <row r="105" spans="1:30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</row>
    <row r="107" spans="1:30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</row>
    <row r="109" spans="1:30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</row>
    <row r="111" spans="1:30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</row>
    <row r="112" spans="1:30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</row>
    <row r="113" spans="1:30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</row>
    <row r="114" spans="1:30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</row>
    <row r="115" spans="1:30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</row>
    <row r="116" spans="1:30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</row>
    <row r="120" spans="1:3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</row>
    <row r="122" spans="1:30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</row>
    <row r="124" spans="1:30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</row>
    <row r="125" spans="1:30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</row>
    <row r="129" spans="1:30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</row>
    <row r="134" spans="1:30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</row>
    <row r="135" spans="1:30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</row>
    <row r="136" spans="1:30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</row>
    <row r="140" spans="1:3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</row>
    <row r="141" spans="1:30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</row>
    <row r="142" spans="1:30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</row>
    <row r="144" spans="1:30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</row>
    <row r="145" spans="1:30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</row>
    <row r="146" spans="1:30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</row>
    <row r="148" spans="1:30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</row>
    <row r="149" spans="1:30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</row>
    <row r="150" spans="1:3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</row>
    <row r="151" spans="1:30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</row>
    <row r="152" spans="1:30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</row>
    <row r="153" spans="1:30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</row>
    <row r="154" spans="1:30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</row>
    <row r="155" spans="1:30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</row>
    <row r="156" spans="1:30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</row>
    <row r="157" spans="1:30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</row>
    <row r="158" spans="1:30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</row>
    <row r="159" spans="1:30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</row>
    <row r="160" spans="1:3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</row>
    <row r="161" spans="1:30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</row>
    <row r="162" spans="1:30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</row>
    <row r="163" spans="1:30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</row>
    <row r="164" spans="1:30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</row>
    <row r="165" spans="1:30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</row>
    <row r="166" spans="1:30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</row>
    <row r="167" spans="1:30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</row>
    <row r="168" spans="1:30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</row>
    <row r="169" spans="1:30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</row>
    <row r="170" spans="1:3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</row>
    <row r="171" spans="1:30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</row>
    <row r="172" spans="1:30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</row>
    <row r="173" spans="1:30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</row>
    <row r="174" spans="1:30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</row>
    <row r="175" spans="1:30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</row>
    <row r="176" spans="1:30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</row>
    <row r="177" spans="1:30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</row>
    <row r="178" spans="1:30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</row>
    <row r="179" spans="1:30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</row>
    <row r="180" spans="1:3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</row>
    <row r="181" spans="1:30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</row>
    <row r="182" spans="1:30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</row>
    <row r="183" spans="1:30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</row>
    <row r="184" spans="1:30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</row>
    <row r="185" spans="1:30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</row>
    <row r="186" spans="1:30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</row>
    <row r="187" spans="1:30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</row>
    <row r="188" spans="1:30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</row>
    <row r="189" spans="1:30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</row>
    <row r="190" spans="1:3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</row>
    <row r="191" spans="1:30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</row>
    <row r="192" spans="1:30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</row>
    <row r="193" spans="1:30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</row>
    <row r="194" spans="1:30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</row>
    <row r="195" spans="1:30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</row>
    <row r="196" spans="1:30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</row>
    <row r="197" spans="1:30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</row>
    <row r="198" spans="1:30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</row>
    <row r="199" spans="1:30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</row>
    <row r="200" spans="1:3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</row>
    <row r="201" spans="1:30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</row>
    <row r="202" spans="1:30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</row>
    <row r="203" spans="1:30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</row>
    <row r="204" spans="1:30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</row>
    <row r="205" spans="1:30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</row>
    <row r="206" spans="1:30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</row>
    <row r="207" spans="1:30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</row>
    <row r="208" spans="1:30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</row>
    <row r="209" spans="1:30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</row>
    <row r="210" spans="1:3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</row>
    <row r="211" spans="1:30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</row>
    <row r="212" spans="1:30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</row>
    <row r="213" spans="1:30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</row>
    <row r="214" spans="1:30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</row>
    <row r="215" spans="1:30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</row>
    <row r="216" spans="1:30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</row>
    <row r="217" spans="1:30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</row>
    <row r="218" spans="1:30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</row>
    <row r="219" spans="1:30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</row>
    <row r="220" spans="1:3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</row>
    <row r="221" spans="1:30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</row>
    <row r="222" spans="1:30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</row>
    <row r="223" spans="1:30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</row>
    <row r="224" spans="1:30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</row>
    <row r="225" spans="1:30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</row>
    <row r="226" spans="1:30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</row>
    <row r="227" spans="1:30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</row>
    <row r="228" spans="1:30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</row>
    <row r="229" spans="1:30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</row>
    <row r="230" spans="1: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</row>
    <row r="231" spans="1:30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</row>
    <row r="232" spans="1:30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</row>
    <row r="233" spans="1:30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</row>
    <row r="234" spans="1:30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</row>
    <row r="235" spans="1:30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</row>
    <row r="236" spans="1:30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</row>
    <row r="237" spans="1:30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</row>
    <row r="238" spans="1:30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</row>
    <row r="239" spans="1:30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</row>
    <row r="240" spans="1:3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</row>
    <row r="241" spans="1:30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</row>
    <row r="242" spans="1:30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</row>
    <row r="243" spans="1:30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</row>
    <row r="244" spans="1:30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</row>
    <row r="245" spans="1:30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</row>
    <row r="246" spans="1:30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</row>
    <row r="247" spans="1:30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</row>
    <row r="248" spans="1:30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</row>
    <row r="249" spans="1:30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</row>
  </sheetData>
  <conditionalFormatting sqref="F3">
    <cfRule type="duplicateValues" dxfId="2" priority="3"/>
  </conditionalFormatting>
  <conditionalFormatting sqref="A3">
    <cfRule type="duplicateValues" dxfId="1" priority="2"/>
  </conditionalFormatting>
  <conditionalFormatting sqref="A1">
    <cfRule type="duplicateValues" dxfId="0" priority="1"/>
  </conditionalFormatting>
  <hyperlinks>
    <hyperlink ref="E19" r:id="rId1" xr:uid="{19D335E7-D548-4936-A0B0-2E451337B3E7}"/>
    <hyperlink ref="E20" r:id="rId2" display="mailto:FABIO.COSTA@EMAIL.COM" xr:uid="{70326BF5-AC63-4A3B-A5F8-551262B95952}"/>
  </hyperlinks>
  <pageMargins left="0.511811024" right="0.511811024" top="0.78740157499999996" bottom="0.78740157499999996" header="0.31496062000000002" footer="0.31496062000000002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Produtos</vt:lpstr>
      <vt:lpstr>Clientes</vt:lpstr>
      <vt:lpstr>Fornecedores</vt:lpstr>
      <vt:lpstr>Instruções</vt:lpstr>
      <vt:lpstr>Analise_Qualidade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Bonfante</dc:creator>
  <cp:lastModifiedBy>Paulo Cesar Santoro Bonfante</cp:lastModifiedBy>
  <dcterms:created xsi:type="dcterms:W3CDTF">2026-09-28T17:13:03Z</dcterms:created>
  <dcterms:modified xsi:type="dcterms:W3CDTF">2026-09-29T00:04:23Z</dcterms:modified>
</cp:coreProperties>
</file>