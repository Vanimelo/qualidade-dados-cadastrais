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a458793e7d2faedf/Área de Trabalho/"/>
    </mc:Choice>
  </mc:AlternateContent>
  <xr:revisionPtr revIDLastSave="3" documentId="8_{50BB61BC-2039-4413-A90C-A7B156505682}" xr6:coauthVersionLast="47" xr6:coauthVersionMax="47" xr10:uidLastSave="{7CB85268-013F-42CD-A18D-16297B7AC594}"/>
  <bookViews>
    <workbookView xWindow="-108" yWindow="-108" windowWidth="23256" windowHeight="12456" activeTab="4" xr2:uid="{00000000-000D-0000-FFFF-FFFF00000000}"/>
  </bookViews>
  <sheets>
    <sheet name="Produtos" sheetId="1" r:id="rId1"/>
    <sheet name="Clientes" sheetId="2" r:id="rId2"/>
    <sheet name="Fornecedores" sheetId="3" r:id="rId3"/>
    <sheet name="Instruções" sheetId="4" r:id="rId4"/>
    <sheet name="Analise_Qualidade" sheetId="5" r:id="rId5"/>
  </sheets>
  <definedNames>
    <definedName name="_xlnm._FilterDatabase" localSheetId="4" hidden="1">Analise_Qualidade!$A$3:$J$35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0" i="5" l="1"/>
  <c r="I4" i="5"/>
  <c r="I12" i="5"/>
  <c r="I13" i="5" s="1"/>
  <c r="I9" i="5"/>
  <c r="I8" i="5"/>
  <c r="I7" i="5"/>
  <c r="I6" i="5"/>
  <c r="I5" i="5"/>
</calcChain>
</file>

<file path=xl/sharedStrings.xml><?xml version="1.0" encoding="utf-8"?>
<sst xmlns="http://schemas.openxmlformats.org/spreadsheetml/2006/main" count="514" uniqueCount="282">
  <si>
    <t>ID Produto</t>
  </si>
  <si>
    <t>Produto</t>
  </si>
  <si>
    <t>Subcategoria</t>
  </si>
  <si>
    <t>Categoria</t>
  </si>
  <si>
    <t>Fornecedor</t>
  </si>
  <si>
    <t>EAN</t>
  </si>
  <si>
    <t>Preço</t>
  </si>
  <si>
    <t>Status</t>
  </si>
  <si>
    <t>PRD001</t>
  </si>
  <si>
    <t>Notebook Pro 14</t>
  </si>
  <si>
    <t>Informática</t>
  </si>
  <si>
    <t>Eletrônicos</t>
  </si>
  <si>
    <t>TechNova Ltda</t>
  </si>
  <si>
    <t>7891001000011</t>
  </si>
  <si>
    <t>Ativo</t>
  </si>
  <si>
    <t>PRD002</t>
  </si>
  <si>
    <t>Mouse Sem Fio</t>
  </si>
  <si>
    <t>Acessórios</t>
  </si>
  <si>
    <t>Connect Mais</t>
  </si>
  <si>
    <t>7891001000028</t>
  </si>
  <si>
    <t>PRD003</t>
  </si>
  <si>
    <t>Teclado Mecânico</t>
  </si>
  <si>
    <t>7891001000035</t>
  </si>
  <si>
    <t>PRD004</t>
  </si>
  <si>
    <t>Monitor 24 Polegadas</t>
  </si>
  <si>
    <t>Monitores</t>
  </si>
  <si>
    <t>Vision Tech</t>
  </si>
  <si>
    <t>7891001000042</t>
  </si>
  <si>
    <t>PRD005</t>
  </si>
  <si>
    <t>Cadeira Office</t>
  </si>
  <si>
    <t>Móveis</t>
  </si>
  <si>
    <t>Escritório</t>
  </si>
  <si>
    <t>Moveis Brasil</t>
  </si>
  <si>
    <t>7891001000059</t>
  </si>
  <si>
    <t>PRD006</t>
  </si>
  <si>
    <t>Webcam Full HD</t>
  </si>
  <si>
    <t>PRD007</t>
  </si>
  <si>
    <t>Headset USB</t>
  </si>
  <si>
    <t>acessórios</t>
  </si>
  <si>
    <t>7891001000073</t>
  </si>
  <si>
    <t>ativo</t>
  </si>
  <si>
    <t>PRD008</t>
  </si>
  <si>
    <t>SSD 1TB</t>
  </si>
  <si>
    <t>Armazenamento</t>
  </si>
  <si>
    <t>Data Storage</t>
  </si>
  <si>
    <t>7891001000080</t>
  </si>
  <si>
    <t>PRD009</t>
  </si>
  <si>
    <t>HD Externo 2TB</t>
  </si>
  <si>
    <t>Data storage</t>
  </si>
  <si>
    <t>7891001000097</t>
  </si>
  <si>
    <t>PRD010</t>
  </si>
  <si>
    <t>Impressora Laser</t>
  </si>
  <si>
    <t>Impressoras</t>
  </si>
  <si>
    <t>PrintMax</t>
  </si>
  <si>
    <t>7891001000103</t>
  </si>
  <si>
    <t>Inativo</t>
  </si>
  <si>
    <t>PRD012</t>
  </si>
  <si>
    <t>Cabo HDMI 2m</t>
  </si>
  <si>
    <t>Cabos</t>
  </si>
  <si>
    <t>7891001000127</t>
  </si>
  <si>
    <t>PRD013</t>
  </si>
  <si>
    <t>Adaptador USB-C</t>
  </si>
  <si>
    <t>7891001000134</t>
  </si>
  <si>
    <t>PRD014</t>
  </si>
  <si>
    <t>Suporte Notebook</t>
  </si>
  <si>
    <t>7891001000141</t>
  </si>
  <si>
    <t>prd015</t>
  </si>
  <si>
    <t>Hub USB 4 Portas</t>
  </si>
  <si>
    <t>7891001000158</t>
  </si>
  <si>
    <t>ID Cliente</t>
  </si>
  <si>
    <t>Nome</t>
  </si>
  <si>
    <t>CPF</t>
  </si>
  <si>
    <t>E-mail</t>
  </si>
  <si>
    <t>Telefone</t>
  </si>
  <si>
    <t>Cidade</t>
  </si>
  <si>
    <t>UF</t>
  </si>
  <si>
    <t>CLI001</t>
  </si>
  <si>
    <t>Ana Souza</t>
  </si>
  <si>
    <t>123.456.789-01</t>
  </si>
  <si>
    <t>ana.souza@email.com</t>
  </si>
  <si>
    <t>11987654321</t>
  </si>
  <si>
    <t>São Paulo</t>
  </si>
  <si>
    <t>SP</t>
  </si>
  <si>
    <t>CLI002</t>
  </si>
  <si>
    <t>Bruno Lima</t>
  </si>
  <si>
    <t>bruno.lima@email.com</t>
  </si>
  <si>
    <t>11 98888-7777</t>
  </si>
  <si>
    <t>CLI003</t>
  </si>
  <si>
    <t>Carla Mendes</t>
  </si>
  <si>
    <t>456.789.123-10</t>
  </si>
  <si>
    <t>carla.mendes@email</t>
  </si>
  <si>
    <t>11999998888</t>
  </si>
  <si>
    <t>Sao Paulo</t>
  </si>
  <si>
    <t>sp</t>
  </si>
  <si>
    <t>CLI004</t>
  </si>
  <si>
    <t>Diego Santos</t>
  </si>
  <si>
    <t>321.654.987-22</t>
  </si>
  <si>
    <t>diego@email.com</t>
  </si>
  <si>
    <t>Campinas</t>
  </si>
  <si>
    <t>CLI005</t>
  </si>
  <si>
    <t>Elisa Rocha</t>
  </si>
  <si>
    <t>elisa.rocha@email.com</t>
  </si>
  <si>
    <t>21977776666</t>
  </si>
  <si>
    <t>Rio de Janeiro</t>
  </si>
  <si>
    <t>RJ</t>
  </si>
  <si>
    <t>CLI006</t>
  </si>
  <si>
    <t>Fabio Costa</t>
  </si>
  <si>
    <t>741.852.963-33</t>
  </si>
  <si>
    <t>FABIO.COSTA@EMAIL.COM</t>
  </si>
  <si>
    <t>11966665555</t>
  </si>
  <si>
    <t>CLI007</t>
  </si>
  <si>
    <t>Gabriela Alves</t>
  </si>
  <si>
    <t>852.963.741-44</t>
  </si>
  <si>
    <t>gabriela@email.com</t>
  </si>
  <si>
    <t>11955554444</t>
  </si>
  <si>
    <t>CLI008</t>
  </si>
  <si>
    <t>Henrique Melo</t>
  </si>
  <si>
    <t>963.741.852-55</t>
  </si>
  <si>
    <t>henrique@email.com</t>
  </si>
  <si>
    <t>11944443333</t>
  </si>
  <si>
    <t>Guarulhos</t>
  </si>
  <si>
    <t>CLI009</t>
  </si>
  <si>
    <t>Isabela Martins</t>
  </si>
  <si>
    <t>159.357.456-66</t>
  </si>
  <si>
    <t>isabela@email.com</t>
  </si>
  <si>
    <t>11933332222</t>
  </si>
  <si>
    <t>CLI010</t>
  </si>
  <si>
    <t>João Ribeiro</t>
  </si>
  <si>
    <t>357.159.258-77</t>
  </si>
  <si>
    <t>joao@email.com</t>
  </si>
  <si>
    <t>11922221111</t>
  </si>
  <si>
    <t>CLI012</t>
  </si>
  <si>
    <t>Karen Nunes</t>
  </si>
  <si>
    <t>258.456.159-88</t>
  </si>
  <si>
    <t>karen@email.com</t>
  </si>
  <si>
    <t>11911110000</t>
  </si>
  <si>
    <t>CLI013</t>
  </si>
  <si>
    <t>Lucas Freitas</t>
  </si>
  <si>
    <t>654.321.987-99</t>
  </si>
  <si>
    <t>lucas.freitas@email.com</t>
  </si>
  <si>
    <t>11900009999</t>
  </si>
  <si>
    <t>Osasco</t>
  </si>
  <si>
    <t>cli014</t>
  </si>
  <si>
    <t>Mariana Lopes</t>
  </si>
  <si>
    <t>951.753.852-11</t>
  </si>
  <si>
    <t>mariana@email.com</t>
  </si>
  <si>
    <t>11899998888</t>
  </si>
  <si>
    <t>CLI015</t>
  </si>
  <si>
    <t>Nicolas Barros</t>
  </si>
  <si>
    <t>753.951.456-22</t>
  </si>
  <si>
    <t>nicolas@email.com</t>
  </si>
  <si>
    <t>abc123</t>
  </si>
  <si>
    <t>ID Fornecedor</t>
  </si>
  <si>
    <t>Razão Social</t>
  </si>
  <si>
    <t>CNPJ</t>
  </si>
  <si>
    <t>Segmento</t>
  </si>
  <si>
    <t>FOR001</t>
  </si>
  <si>
    <t>12.345.678/0001-90</t>
  </si>
  <si>
    <t>compras@technova.com</t>
  </si>
  <si>
    <t>11912345678</t>
  </si>
  <si>
    <t>FOR002</t>
  </si>
  <si>
    <t>98.765.432/0001-10</t>
  </si>
  <si>
    <t>Tecnologia</t>
  </si>
  <si>
    <t>contato@connectmais.com</t>
  </si>
  <si>
    <t>11923456789</t>
  </si>
  <si>
    <t>FOR003</t>
  </si>
  <si>
    <t>45.678.912/0001-34</t>
  </si>
  <si>
    <t>vendas@visiontech.com</t>
  </si>
  <si>
    <t>11934567890</t>
  </si>
  <si>
    <t>FOR004</t>
  </si>
  <si>
    <t>56.789.123/0001-45</t>
  </si>
  <si>
    <t>contato@moveisbrasil.com</t>
  </si>
  <si>
    <t>11945678901</t>
  </si>
  <si>
    <t>FOR005</t>
  </si>
  <si>
    <t>67.891.234/0001-56</t>
  </si>
  <si>
    <t>comercial@datastorage.com</t>
  </si>
  <si>
    <t>Barueri</t>
  </si>
  <si>
    <t>FOR006</t>
  </si>
  <si>
    <t>78.912.345/0001-67</t>
  </si>
  <si>
    <t>Impressão</t>
  </si>
  <si>
    <t>contato@printmax</t>
  </si>
  <si>
    <t>11967890123</t>
  </si>
  <si>
    <t>FOR007</t>
  </si>
  <si>
    <t>Office Suprimentos</t>
  </si>
  <si>
    <t>office@suprimentos.com</t>
  </si>
  <si>
    <t>11978901234</t>
  </si>
  <si>
    <t>FOR008</t>
  </si>
  <si>
    <t>Alpha Distribuidora</t>
  </si>
  <si>
    <t>89.123.456/0001-78</t>
  </si>
  <si>
    <t>alpha@distribuidora.com</t>
  </si>
  <si>
    <t>11989012345</t>
  </si>
  <si>
    <t>FOR009</t>
  </si>
  <si>
    <t>Beta Comercial</t>
  </si>
  <si>
    <t>91.234.567/0001-89</t>
  </si>
  <si>
    <t>beta@comercial.com</t>
  </si>
  <si>
    <t>11990123456</t>
  </si>
  <si>
    <t>FOR010</t>
  </si>
  <si>
    <t>Gamma Solutions</t>
  </si>
  <si>
    <t>23.456.789/0001-01</t>
  </si>
  <si>
    <t>Serviços</t>
  </si>
  <si>
    <t>gamma@solutions.com</t>
  </si>
  <si>
    <t>11901234567</t>
  </si>
  <si>
    <t>FOR012</t>
  </si>
  <si>
    <t>Delta Tech</t>
  </si>
  <si>
    <t>34.567.890/0001-12</t>
  </si>
  <si>
    <t>delta@tech.com</t>
  </si>
  <si>
    <t>telefone</t>
  </si>
  <si>
    <t>Projeto – Qualidade de Dados Cadastrais</t>
  </si>
  <si>
    <t>Objetivo do exercício</t>
  </si>
  <si>
    <t>Analise as abas Produtos, Clientes e Fornecedores e identifique problemas de qualidade de dados.</t>
  </si>
  <si>
    <t>Procure por duplicidades, campos vazios, falta de padronização, formatos inválidos e valores inconsistentes.</t>
  </si>
  <si>
    <t>Não altere esta base original. Crie uma cópia para realizar o tratamento.</t>
  </si>
  <si>
    <t>Sugestão de entrega</t>
  </si>
  <si>
    <t>1. Base original (este arquivo)</t>
  </si>
  <si>
    <t>2. Base tratada</t>
  </si>
  <si>
    <t>ANÁLISE DE QUALIDADE DE DADOS</t>
  </si>
  <si>
    <t>Base analisada</t>
  </si>
  <si>
    <t>Tipo de problema</t>
  </si>
  <si>
    <t>Campo</t>
  </si>
  <si>
    <t>Quantidade</t>
  </si>
  <si>
    <t>Exemplo encontrado</t>
  </si>
  <si>
    <t>Ação realizada</t>
  </si>
  <si>
    <t>Produtos</t>
  </si>
  <si>
    <t>Duplicidade</t>
  </si>
  <si>
    <t>Remoção do registro duplicado</t>
  </si>
  <si>
    <t>Campo vazio</t>
  </si>
  <si>
    <t>PRD006 – Webcam Full HD</t>
  </si>
  <si>
    <t>PRD012 – Cabo HDMI 2m</t>
  </si>
  <si>
    <t>PRD013 – Adaptador USB-C</t>
  </si>
  <si>
    <t>Validar/preencher informação</t>
  </si>
  <si>
    <t>Padronizar/preencher categoria</t>
  </si>
  <si>
    <t>Validar/preencher fornecedor</t>
  </si>
  <si>
    <t>Falta de padronização</t>
  </si>
  <si>
    <t>informatica / INFORMATICA</t>
  </si>
  <si>
    <t>Padronizado para “Informática”</t>
  </si>
  <si>
    <t>Padronizado para “Ativo”</t>
  </si>
  <si>
    <t>Padronizado para “Ativo/ Inativo”</t>
  </si>
  <si>
    <t>Padronizado para PRD015</t>
  </si>
  <si>
    <t>PRD015</t>
  </si>
  <si>
    <t>Padronizado para “Data Storage”</t>
  </si>
  <si>
    <t>Valor inválido</t>
  </si>
  <si>
    <t>PRD014: -R$ 119,90</t>
  </si>
  <si>
    <t>Validar e corrigir valor</t>
  </si>
  <si>
    <t>Clientes</t>
  </si>
  <si>
    <t>CLI005 – Elisa Rocha</t>
  </si>
  <si>
    <t>CLI004 – Diego Santos</t>
  </si>
  <si>
    <t>CLI007 – Gabriela Alves</t>
  </si>
  <si>
    <t>CLI013 – Lucas Freitas</t>
  </si>
  <si>
    <t>Padronização para 000.000.000-00</t>
  </si>
  <si>
    <t>987.654.321-00</t>
  </si>
  <si>
    <t>Formato inválido</t>
  </si>
  <si>
    <t>E-mail validado e corrigido</t>
  </si>
  <si>
    <t>Padronizado para letras minúsculas</t>
  </si>
  <si>
    <t>fabio.costa@email.com</t>
  </si>
  <si>
    <t>11987654321 / 11 98888-7777</t>
  </si>
  <si>
    <t>Padronização do formato</t>
  </si>
  <si>
    <t>Sinalizado para validação</t>
  </si>
  <si>
    <t>carla.mendes@email.com</t>
  </si>
  <si>
    <t>Padronizado para “SP”</t>
  </si>
  <si>
    <t>Corrigido para “SP”</t>
  </si>
  <si>
    <t>Valor inconsistente</t>
  </si>
  <si>
    <t>Padronizado para CLI014</t>
  </si>
  <si>
    <t>CLI014</t>
  </si>
  <si>
    <t>Fornecedores</t>
  </si>
  <si>
    <t>FOR007 – Office Suprimentos</t>
  </si>
  <si>
    <t>FOR005 – Data Storage</t>
  </si>
  <si>
    <t>FOR008 – Alpha Distribuidora</t>
  </si>
  <si>
    <t>tecnologia / TECNOLOGIA</t>
  </si>
  <si>
    <t>Padronizado para “Tecnologia”</t>
  </si>
  <si>
    <t>Padronizado para “São Paulo”</t>
  </si>
  <si>
    <t>contato@printmax.com</t>
  </si>
  <si>
    <t>INDICADORES DE QUALIDADE</t>
  </si>
  <si>
    <t>Total de inconsistências</t>
  </si>
  <si>
    <t>Duplicidades</t>
  </si>
  <si>
    <t>Campos vazios</t>
  </si>
  <si>
    <t>Valores inválidos</t>
  </si>
  <si>
    <t>Registros analisados</t>
  </si>
  <si>
    <t>Inconsistências identificadas</t>
  </si>
  <si>
    <t>Inconsistências por registro</t>
  </si>
  <si>
    <t>Valores inconsistentes</t>
  </si>
  <si>
    <t>FOR010 – Gamma Solutions</t>
  </si>
  <si>
    <t xml:space="preserve">ATIVO / ativo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</si>
</sst>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R\$\ #,##0.00"/>
    <numFmt numFmtId="165" formatCode="0.0%"/>
  </numFmts>
  <fonts count="12">
    <font>
      <sz val="11"/>
      <name val="Carlito"/>
    </font>
    <font>
      <b/>
      <sz val="11"/>
      <color rgb="FFFFFFFF"/>
      <name val="Carlito"/>
    </font>
    <font>
      <b/>
      <sz val="16"/>
      <color rgb="FFFFFFFF"/>
      <name val="Carlito"/>
    </font>
    <font>
      <b/>
      <sz val="13"/>
      <name val="Carlito"/>
    </font>
    <font>
      <sz val="11"/>
      <name val="Carlito"/>
    </font>
    <font>
      <sz val="11"/>
      <color theme="1"/>
      <name val="Carlito"/>
    </font>
    <font>
      <b/>
      <sz val="10"/>
      <color rgb="FFFFFFFF"/>
      <name val="Carlito"/>
    </font>
    <font>
      <sz val="10"/>
      <name val="Carlito"/>
    </font>
    <font>
      <sz val="11"/>
      <color rgb="FFFF0000"/>
      <name val="Carlito"/>
    </font>
    <font>
      <u/>
      <sz val="11"/>
      <color theme="10"/>
      <name val="Carlito"/>
    </font>
    <font>
      <u/>
      <sz val="11"/>
      <color rgb="FFFF0000"/>
      <name val="Carlito"/>
    </font>
    <font>
      <sz val="10"/>
      <name val="Arial Unicode MS"/>
    </font>
  </fonts>
  <fills count="8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/>
      </right>
      <top/>
      <bottom/>
      <diagonal/>
    </border>
    <border>
      <left style="thin">
        <color theme="4"/>
      </left>
      <right style="thin">
        <color theme="4" tint="0.39997558519241921"/>
      </right>
      <top style="thin">
        <color theme="4" tint="0.39997558519241921"/>
      </top>
      <bottom style="thin">
        <color theme="4"/>
      </bottom>
      <diagonal/>
    </border>
    <border>
      <left style="thin">
        <color theme="4" tint="0.39997558519241921"/>
      </left>
      <right style="thin">
        <color theme="4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 style="thin">
        <color theme="4"/>
      </right>
      <top style="thin">
        <color theme="4" tint="0.39997558519241921"/>
      </top>
      <bottom style="thin">
        <color theme="4"/>
      </bottom>
      <diagonal/>
    </border>
    <border>
      <left/>
      <right style="thin">
        <color theme="4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/>
      </left>
      <right style="thin">
        <color theme="4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/>
      </left>
      <right style="thin">
        <color theme="4"/>
      </right>
      <top/>
      <bottom style="thin">
        <color theme="4" tint="0.39997558519241921"/>
      </bottom>
      <diagonal/>
    </border>
  </borders>
  <cellStyleXfs count="3">
    <xf numFmtId="0" fontId="0" fillId="0" borderId="0"/>
    <xf numFmtId="9" fontId="4" fillId="0" borderId="0" applyFont="0" applyFill="0" applyBorder="0" applyAlignment="0" applyProtection="0"/>
    <xf numFmtId="0" fontId="9" fillId="0" borderId="0" applyNumberFormat="0" applyFill="0" applyBorder="0" applyAlignment="0" applyProtection="0"/>
  </cellStyleXfs>
  <cellXfs count="39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164" fontId="0" fillId="0" borderId="0" xfId="0" applyNumberFormat="1" applyAlignment="1">
      <alignment wrapText="1"/>
    </xf>
    <xf numFmtId="0" fontId="3" fillId="0" borderId="0" xfId="0" applyFont="1" applyAlignment="1">
      <alignment wrapText="1"/>
    </xf>
    <xf numFmtId="0" fontId="0" fillId="4" borderId="0" xfId="0" applyFill="1" applyAlignment="1">
      <alignment wrapText="1"/>
    </xf>
    <xf numFmtId="0" fontId="6" fillId="2" borderId="0" xfId="0" applyFont="1" applyFill="1" applyAlignment="1">
      <alignment horizontal="center" vertical="center"/>
    </xf>
    <xf numFmtId="0" fontId="7" fillId="0" borderId="0" xfId="0" applyFont="1"/>
    <xf numFmtId="0" fontId="8" fillId="0" borderId="0" xfId="0" applyFont="1" applyAlignment="1">
      <alignment wrapText="1"/>
    </xf>
    <xf numFmtId="0" fontId="5" fillId="0" borderId="3" xfId="0" applyFont="1" applyBorder="1" applyAlignment="1">
      <alignment wrapText="1"/>
    </xf>
    <xf numFmtId="0" fontId="5" fillId="3" borderId="3" xfId="0" applyFont="1" applyFill="1" applyBorder="1" applyAlignment="1">
      <alignment wrapText="1"/>
    </xf>
    <xf numFmtId="0" fontId="9" fillId="0" borderId="0" xfId="2" applyAlignment="1">
      <alignment wrapText="1"/>
    </xf>
    <xf numFmtId="0" fontId="0" fillId="6" borderId="0" xfId="0" applyFill="1" applyAlignment="1">
      <alignment wrapText="1"/>
    </xf>
    <xf numFmtId="0" fontId="8" fillId="0" borderId="0" xfId="0" applyFont="1"/>
    <xf numFmtId="0" fontId="10" fillId="0" borderId="0" xfId="2" applyFont="1" applyAlignment="1">
      <alignment wrapText="1"/>
    </xf>
    <xf numFmtId="0" fontId="0" fillId="7" borderId="0" xfId="0" applyFill="1"/>
    <xf numFmtId="0" fontId="11" fillId="7" borderId="0" xfId="0" applyFont="1" applyFill="1"/>
    <xf numFmtId="0" fontId="5" fillId="3" borderId="2" xfId="0" applyFont="1" applyFill="1" applyBorder="1" applyAlignment="1">
      <alignment wrapText="1"/>
    </xf>
    <xf numFmtId="0" fontId="5" fillId="0" borderId="2" xfId="0" applyFont="1" applyBorder="1" applyAlignment="1">
      <alignment wrapText="1"/>
    </xf>
    <xf numFmtId="0" fontId="5" fillId="0" borderId="4" xfId="0" applyFont="1" applyBorder="1" applyAlignment="1">
      <alignment wrapText="1"/>
    </xf>
    <xf numFmtId="0" fontId="5" fillId="5" borderId="1" xfId="0" applyFont="1" applyFill="1" applyBorder="1" applyAlignment="1">
      <alignment wrapText="1"/>
    </xf>
    <xf numFmtId="0" fontId="0" fillId="7" borderId="1" xfId="0" applyFill="1" applyBorder="1"/>
    <xf numFmtId="0" fontId="0" fillId="7" borderId="5" xfId="0" applyFill="1" applyBorder="1"/>
    <xf numFmtId="0" fontId="5" fillId="3" borderId="6" xfId="0" applyFont="1" applyFill="1" applyBorder="1" applyAlignment="1">
      <alignment wrapText="1"/>
    </xf>
    <xf numFmtId="0" fontId="5" fillId="5" borderId="5" xfId="0" applyFont="1" applyFill="1" applyBorder="1" applyAlignment="1">
      <alignment wrapText="1"/>
    </xf>
    <xf numFmtId="0" fontId="5" fillId="7" borderId="5" xfId="0" applyFont="1" applyFill="1" applyBorder="1" applyAlignment="1">
      <alignment wrapText="1"/>
    </xf>
    <xf numFmtId="0" fontId="5" fillId="0" borderId="7" xfId="0" applyFont="1" applyBorder="1" applyAlignment="1">
      <alignment wrapText="1"/>
    </xf>
    <xf numFmtId="0" fontId="5" fillId="3" borderId="9" xfId="0" applyFont="1" applyFill="1" applyBorder="1" applyAlignment="1">
      <alignment wrapText="1"/>
    </xf>
    <xf numFmtId="0" fontId="5" fillId="0" borderId="9" xfId="0" applyFont="1" applyBorder="1" applyAlignment="1">
      <alignment wrapText="1"/>
    </xf>
    <xf numFmtId="0" fontId="5" fillId="0" borderId="10" xfId="0" applyFont="1" applyBorder="1" applyAlignment="1">
      <alignment wrapText="1"/>
    </xf>
    <xf numFmtId="0" fontId="5" fillId="3" borderId="10" xfId="0" applyFont="1" applyFill="1" applyBorder="1" applyAlignment="1">
      <alignment wrapText="1"/>
    </xf>
    <xf numFmtId="0" fontId="5" fillId="0" borderId="11" xfId="0" applyFont="1" applyBorder="1" applyAlignment="1">
      <alignment wrapText="1"/>
    </xf>
    <xf numFmtId="0" fontId="6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165" fontId="5" fillId="3" borderId="8" xfId="1" applyNumberFormat="1" applyFont="1" applyFill="1" applyBorder="1" applyAlignment="1">
      <alignment wrapText="1"/>
    </xf>
    <xf numFmtId="0" fontId="2" fillId="2" borderId="0" xfId="0" applyFont="1" applyFill="1" applyAlignment="1">
      <alignment horizontal="center" vertical="center"/>
    </xf>
    <xf numFmtId="0" fontId="0" fillId="0" borderId="0" xfId="0"/>
  </cellXfs>
  <cellStyles count="3">
    <cellStyle name="Hiperlink" xfId="2" builtinId="8"/>
    <cellStyle name="Normal" xfId="0" builtinId="0"/>
    <cellStyle name="Porcentagem" xfId="1" builtinId="5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strike val="0"/>
        <outline val="0"/>
        <shadow val="0"/>
        <u val="none"/>
        <vertAlign val="baseline"/>
        <sz val="10"/>
        <name val="Carlito"/>
        <scheme val="none"/>
      </font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sz="1400" b="0" i="0" u="none" strike="noStrike" baseline="0"/>
              <a:t>Inconsistências Identificadas na Base Cadastral</a:t>
            </a:r>
            <a:endParaRPr lang="pt-B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Analise_Qualidade!$H$4:$H$9</c:f>
              <c:strCache>
                <c:ptCount val="6"/>
                <c:pt idx="0">
                  <c:v>Total de inconsistências</c:v>
                </c:pt>
                <c:pt idx="1">
                  <c:v>Duplicidades</c:v>
                </c:pt>
                <c:pt idx="2">
                  <c:v>Campos vazios</c:v>
                </c:pt>
                <c:pt idx="3">
                  <c:v>Falta de padronização</c:v>
                </c:pt>
                <c:pt idx="4">
                  <c:v>Formato inválido</c:v>
                </c:pt>
                <c:pt idx="5">
                  <c:v>Valores inválidos</c:v>
                </c:pt>
              </c:strCache>
            </c:strRef>
          </c:cat>
          <c:val>
            <c:numRef>
              <c:f>Analise_Qualidade!$I$4:$I$9</c:f>
              <c:numCache>
                <c:formatCode>General</c:formatCode>
                <c:ptCount val="6"/>
                <c:pt idx="0">
                  <c:v>36</c:v>
                </c:pt>
                <c:pt idx="1">
                  <c:v>3</c:v>
                </c:pt>
                <c:pt idx="2">
                  <c:v>10</c:v>
                </c:pt>
                <c:pt idx="3">
                  <c:v>17</c:v>
                </c:pt>
                <c:pt idx="4">
                  <c:v>2</c:v>
                </c:pt>
                <c:pt idx="5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8D3-420F-9FBC-21D725100E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26510992"/>
        <c:axId val="1797134832"/>
      </c:barChart>
      <c:catAx>
        <c:axId val="18265109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97134832"/>
        <c:crosses val="autoZero"/>
        <c:auto val="1"/>
        <c:lblAlgn val="ctr"/>
        <c:lblOffset val="100"/>
        <c:noMultiLvlLbl val="0"/>
      </c:catAx>
      <c:valAx>
        <c:axId val="1797134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8265109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266700</xdr:colOff>
      <xdr:row>13</xdr:row>
      <xdr:rowOff>144779</xdr:rowOff>
    </xdr:from>
    <xdr:to>
      <xdr:col>12</xdr:col>
      <xdr:colOff>89647</xdr:colOff>
      <xdr:row>29</xdr:row>
      <xdr:rowOff>8964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81B5158C-4267-7B99-4CB6-8516062C58E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elaProdutos" displayName="TabelaProdutos" ref="A1:H15" totalsRowShown="0">
  <tableColumns count="8">
    <tableColumn id="1" xr3:uid="{00000000-0010-0000-0000-000001000000}" name="ID Produto" dataDxfId="7"/>
    <tableColumn id="2" xr3:uid="{00000000-0010-0000-0000-000002000000}" name="Produto"/>
    <tableColumn id="3" xr3:uid="{00000000-0010-0000-0000-000003000000}" name="Subcategoria"/>
    <tableColumn id="4" xr3:uid="{00000000-0010-0000-0000-000004000000}" name="Categoria"/>
    <tableColumn id="5" xr3:uid="{00000000-0010-0000-0000-000005000000}" name="Fornecedor"/>
    <tableColumn id="6" xr3:uid="{00000000-0010-0000-0000-000006000000}" name="EAN"/>
    <tableColumn id="7" xr3:uid="{00000000-0010-0000-0000-000007000000}" name="Preço"/>
    <tableColumn id="8" xr3:uid="{00000000-0010-0000-0000-000008000000}" name="Statu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elaClientes" displayName="TabelaClientes" ref="A1:H15" totalsRowShown="0">
  <tableColumns count="8">
    <tableColumn id="1" xr3:uid="{00000000-0010-0000-0100-000001000000}" name="ID Cliente"/>
    <tableColumn id="2" xr3:uid="{00000000-0010-0000-0100-000002000000}" name="Nome"/>
    <tableColumn id="3" xr3:uid="{00000000-0010-0000-0100-000003000000}" name="CPF"/>
    <tableColumn id="4" xr3:uid="{00000000-0010-0000-0100-000004000000}" name="E-mail"/>
    <tableColumn id="5" xr3:uid="{00000000-0010-0000-0100-000005000000}" name="Telefone"/>
    <tableColumn id="6" xr3:uid="{00000000-0010-0000-0100-000006000000}" name="Cidade"/>
    <tableColumn id="7" xr3:uid="{00000000-0010-0000-0100-000007000000}" name="UF"/>
    <tableColumn id="8" xr3:uid="{00000000-0010-0000-0100-000008000000}" name="Statu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elaFornecedores" displayName="TabelaFornecedores" ref="A1:I12" totalsRowShown="0">
  <tableColumns count="9">
    <tableColumn id="1" xr3:uid="{00000000-0010-0000-0200-000001000000}" name="ID Fornecedor"/>
    <tableColumn id="2" xr3:uid="{00000000-0010-0000-0200-000002000000}" name="Razão Social"/>
    <tableColumn id="3" xr3:uid="{00000000-0010-0000-0200-000003000000}" name="CNPJ"/>
    <tableColumn id="4" xr3:uid="{00000000-0010-0000-0200-000004000000}" name="Segmento"/>
    <tableColumn id="5" xr3:uid="{00000000-0010-0000-0200-000005000000}" name="E-mail"/>
    <tableColumn id="6" xr3:uid="{00000000-0010-0000-0200-000006000000}" name="Telefone"/>
    <tableColumn id="7" xr3:uid="{00000000-0010-0000-0200-000007000000}" name="Cidade"/>
    <tableColumn id="8" xr3:uid="{00000000-0010-0000-0200-000008000000}" name="UF"/>
    <tableColumn id="9" xr3:uid="{00000000-0010-0000-0200-000009000000}" name="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carla.mendes@email.com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hyperlink" Target="mailto:contato@printmax.com" TargetMode="Externa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hyperlink" Target="mailto:FABIO.COSTA@EMAIL.COM" TargetMode="External"/><Relationship Id="rId1" Type="http://schemas.openxmlformats.org/officeDocument/2006/relationships/hyperlink" Target="mailto:carla.mendes@email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5"/>
  <sheetViews>
    <sheetView workbookViewId="0">
      <selection activeCell="C17" sqref="C17"/>
    </sheetView>
  </sheetViews>
  <sheetFormatPr defaultRowHeight="13.8"/>
  <cols>
    <col min="1" max="1" width="14" style="7" customWidth="1"/>
    <col min="2" max="2" width="24" customWidth="1"/>
    <col min="3" max="4" width="18" customWidth="1"/>
    <col min="5" max="5" width="22" customWidth="1"/>
    <col min="6" max="6" width="18" customWidth="1"/>
    <col min="7" max="7" width="14" customWidth="1"/>
    <col min="8" max="8" width="12" customWidth="1"/>
  </cols>
  <sheetData>
    <row r="1" spans="1:8">
      <c r="A1" s="6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3">
        <v>4299.8999999999996</v>
      </c>
      <c r="H2" s="2" t="s">
        <v>14</v>
      </c>
    </row>
    <row r="3" spans="1:8">
      <c r="A3" s="2" t="s">
        <v>15</v>
      </c>
      <c r="B3" s="2" t="s">
        <v>16</v>
      </c>
      <c r="C3" s="2" t="s">
        <v>17</v>
      </c>
      <c r="D3" s="2" t="s">
        <v>10</v>
      </c>
      <c r="E3" s="2" t="s">
        <v>18</v>
      </c>
      <c r="F3" s="2" t="s">
        <v>19</v>
      </c>
      <c r="G3" s="3">
        <v>89.9</v>
      </c>
      <c r="H3" s="2" t="s">
        <v>14</v>
      </c>
    </row>
    <row r="4" spans="1:8">
      <c r="A4" s="2" t="s">
        <v>20</v>
      </c>
      <c r="B4" s="2" t="s">
        <v>21</v>
      </c>
      <c r="C4" s="2" t="s">
        <v>17</v>
      </c>
      <c r="D4" s="2" t="s">
        <v>10</v>
      </c>
      <c r="E4" s="2" t="s">
        <v>18</v>
      </c>
      <c r="F4" s="2" t="s">
        <v>22</v>
      </c>
      <c r="G4" s="3">
        <v>249.9</v>
      </c>
      <c r="H4" s="2" t="s">
        <v>14</v>
      </c>
    </row>
    <row r="5" spans="1:8">
      <c r="A5" s="2" t="s">
        <v>23</v>
      </c>
      <c r="B5" s="2" t="s">
        <v>24</v>
      </c>
      <c r="C5" s="2" t="s">
        <v>25</v>
      </c>
      <c r="D5" s="2" t="s">
        <v>10</v>
      </c>
      <c r="E5" s="2" t="s">
        <v>26</v>
      </c>
      <c r="F5" s="2" t="s">
        <v>27</v>
      </c>
      <c r="G5" s="3">
        <v>799.9</v>
      </c>
      <c r="H5" s="2" t="s">
        <v>14</v>
      </c>
    </row>
    <row r="6" spans="1:8">
      <c r="A6" s="2" t="s">
        <v>28</v>
      </c>
      <c r="B6" s="2" t="s">
        <v>29</v>
      </c>
      <c r="C6" s="2" t="s">
        <v>30</v>
      </c>
      <c r="D6" s="2" t="s">
        <v>31</v>
      </c>
      <c r="E6" s="2" t="s">
        <v>32</v>
      </c>
      <c r="F6" s="2" t="s">
        <v>33</v>
      </c>
      <c r="G6" s="3">
        <v>649</v>
      </c>
      <c r="H6" s="2" t="s">
        <v>14</v>
      </c>
    </row>
    <row r="7" spans="1:8">
      <c r="A7" s="2" t="s">
        <v>34</v>
      </c>
      <c r="B7" s="2" t="s">
        <v>35</v>
      </c>
      <c r="C7" s="2" t="s">
        <v>17</v>
      </c>
      <c r="D7" s="2" t="s">
        <v>10</v>
      </c>
      <c r="E7" s="2" t="s">
        <v>12</v>
      </c>
      <c r="F7" s="5"/>
      <c r="G7" s="3">
        <v>219.9</v>
      </c>
      <c r="H7" s="2" t="s">
        <v>14</v>
      </c>
    </row>
    <row r="8" spans="1:8">
      <c r="A8" s="2" t="s">
        <v>36</v>
      </c>
      <c r="B8" s="2" t="s">
        <v>37</v>
      </c>
      <c r="C8" s="2" t="s">
        <v>38</v>
      </c>
      <c r="D8" s="2" t="s">
        <v>10</v>
      </c>
      <c r="E8" s="2" t="s">
        <v>18</v>
      </c>
      <c r="F8" s="2" t="s">
        <v>39</v>
      </c>
      <c r="G8" s="3">
        <v>159.9</v>
      </c>
      <c r="H8" s="2" t="s">
        <v>14</v>
      </c>
    </row>
    <row r="9" spans="1:8">
      <c r="A9" s="2" t="s">
        <v>41</v>
      </c>
      <c r="B9" s="2" t="s">
        <v>42</v>
      </c>
      <c r="C9" s="2" t="s">
        <v>43</v>
      </c>
      <c r="D9" s="2" t="s">
        <v>10</v>
      </c>
      <c r="E9" s="2" t="s">
        <v>44</v>
      </c>
      <c r="F9" s="2" t="s">
        <v>45</v>
      </c>
      <c r="G9" s="3">
        <v>399.9</v>
      </c>
      <c r="H9" s="2" t="s">
        <v>14</v>
      </c>
    </row>
    <row r="10" spans="1:8">
      <c r="A10" s="2" t="s">
        <v>46</v>
      </c>
      <c r="B10" s="2" t="s">
        <v>47</v>
      </c>
      <c r="C10" s="2" t="s">
        <v>43</v>
      </c>
      <c r="D10" s="2" t="s">
        <v>10</v>
      </c>
      <c r="E10" s="2" t="s">
        <v>44</v>
      </c>
      <c r="F10" s="2" t="s">
        <v>49</v>
      </c>
      <c r="G10" s="3">
        <v>459.9</v>
      </c>
      <c r="H10" s="2" t="s">
        <v>14</v>
      </c>
    </row>
    <row r="11" spans="1:8">
      <c r="A11" s="2" t="s">
        <v>50</v>
      </c>
      <c r="B11" s="2" t="s">
        <v>51</v>
      </c>
      <c r="C11" s="2" t="s">
        <v>52</v>
      </c>
      <c r="D11" s="2" t="s">
        <v>31</v>
      </c>
      <c r="E11" s="2" t="s">
        <v>53</v>
      </c>
      <c r="F11" s="2" t="s">
        <v>54</v>
      </c>
      <c r="G11" s="3">
        <v>1299.9000000000001</v>
      </c>
      <c r="H11" s="2" t="s">
        <v>55</v>
      </c>
    </row>
    <row r="12" spans="1:8">
      <c r="A12" s="2" t="s">
        <v>56</v>
      </c>
      <c r="B12" s="2" t="s">
        <v>57</v>
      </c>
      <c r="C12" s="2" t="s">
        <v>58</v>
      </c>
      <c r="D12" s="5"/>
      <c r="E12" s="2" t="s">
        <v>18</v>
      </c>
      <c r="F12" s="2" t="s">
        <v>59</v>
      </c>
      <c r="G12" s="3">
        <v>39.9</v>
      </c>
      <c r="H12" s="2" t="s">
        <v>14</v>
      </c>
    </row>
    <row r="13" spans="1:8">
      <c r="A13" s="2" t="s">
        <v>60</v>
      </c>
      <c r="B13" s="2" t="s">
        <v>61</v>
      </c>
      <c r="C13" s="2" t="s">
        <v>17</v>
      </c>
      <c r="D13" s="2" t="s">
        <v>10</v>
      </c>
      <c r="E13" s="5"/>
      <c r="F13" s="2" t="s">
        <v>62</v>
      </c>
      <c r="G13" s="3">
        <v>79.900000000000006</v>
      </c>
      <c r="H13" s="2" t="s">
        <v>14</v>
      </c>
    </row>
    <row r="14" spans="1:8">
      <c r="A14" s="2" t="s">
        <v>63</v>
      </c>
      <c r="B14" s="2" t="s">
        <v>64</v>
      </c>
      <c r="C14" s="2" t="s">
        <v>17</v>
      </c>
      <c r="D14" s="2" t="s">
        <v>31</v>
      </c>
      <c r="E14" s="2" t="s">
        <v>32</v>
      </c>
      <c r="F14" s="2" t="s">
        <v>65</v>
      </c>
      <c r="G14" s="3">
        <v>119.9</v>
      </c>
      <c r="H14" s="2" t="s">
        <v>14</v>
      </c>
    </row>
    <row r="15" spans="1:8">
      <c r="A15" s="2" t="s">
        <v>238</v>
      </c>
      <c r="B15" s="2" t="s">
        <v>67</v>
      </c>
      <c r="C15" s="2" t="s">
        <v>17</v>
      </c>
      <c r="D15" s="2" t="s">
        <v>10</v>
      </c>
      <c r="E15" s="2" t="s">
        <v>12</v>
      </c>
      <c r="F15" s="2" t="s">
        <v>68</v>
      </c>
      <c r="G15" s="3">
        <v>129.9</v>
      </c>
      <c r="H15" s="2" t="s">
        <v>14</v>
      </c>
    </row>
  </sheetData>
  <conditionalFormatting sqref="A1 A16:A1048576">
    <cfRule type="duplicateValues" dxfId="6" priority="1"/>
  </conditionalFormatting>
  <conditionalFormatting sqref="F1:F1048576">
    <cfRule type="duplicateValues" dxfId="5" priority="2"/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5"/>
  <sheetViews>
    <sheetView workbookViewId="0">
      <selection activeCell="A8" sqref="A8:H12"/>
    </sheetView>
  </sheetViews>
  <sheetFormatPr defaultRowHeight="13.8"/>
  <cols>
    <col min="1" max="1" width="14" customWidth="1"/>
    <col min="2" max="2" width="22" customWidth="1"/>
    <col min="3" max="3" width="20" customWidth="1"/>
    <col min="4" max="4" width="28" customWidth="1"/>
    <col min="5" max="5" width="18" customWidth="1"/>
    <col min="6" max="6" width="20" customWidth="1"/>
    <col min="7" max="7" width="14" customWidth="1"/>
    <col min="8" max="8" width="12" customWidth="1"/>
  </cols>
  <sheetData>
    <row r="1" spans="1:8">
      <c r="A1" s="1" t="s">
        <v>69</v>
      </c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</v>
      </c>
    </row>
    <row r="2" spans="1:8">
      <c r="A2" s="2" t="s">
        <v>76</v>
      </c>
      <c r="B2" s="2" t="s">
        <v>77</v>
      </c>
      <c r="C2" s="2" t="s">
        <v>78</v>
      </c>
      <c r="D2" s="2" t="s">
        <v>79</v>
      </c>
      <c r="E2" s="2" t="s">
        <v>80</v>
      </c>
      <c r="F2" s="2" t="s">
        <v>81</v>
      </c>
      <c r="G2" s="2" t="s">
        <v>82</v>
      </c>
      <c r="H2" s="2" t="s">
        <v>14</v>
      </c>
    </row>
    <row r="3" spans="1:8">
      <c r="A3" s="2" t="s">
        <v>83</v>
      </c>
      <c r="B3" s="2" t="s">
        <v>84</v>
      </c>
      <c r="C3" s="8" t="s">
        <v>249</v>
      </c>
      <c r="D3" s="2" t="s">
        <v>85</v>
      </c>
      <c r="E3" s="2" t="s">
        <v>86</v>
      </c>
      <c r="F3" s="2" t="s">
        <v>81</v>
      </c>
      <c r="G3" s="2" t="s">
        <v>82</v>
      </c>
      <c r="H3" s="2" t="s">
        <v>14</v>
      </c>
    </row>
    <row r="4" spans="1:8">
      <c r="A4" s="2" t="s">
        <v>87</v>
      </c>
      <c r="B4" s="2" t="s">
        <v>88</v>
      </c>
      <c r="C4" s="2" t="s">
        <v>89</v>
      </c>
      <c r="D4" s="11" t="s">
        <v>257</v>
      </c>
      <c r="E4" s="2" t="s">
        <v>91</v>
      </c>
      <c r="F4" s="2" t="s">
        <v>92</v>
      </c>
      <c r="G4" s="2" t="s">
        <v>82</v>
      </c>
      <c r="H4" s="2" t="s">
        <v>14</v>
      </c>
    </row>
    <row r="5" spans="1:8">
      <c r="A5" s="2" t="s">
        <v>94</v>
      </c>
      <c r="B5" s="2" t="s">
        <v>95</v>
      </c>
      <c r="C5" s="2" t="s">
        <v>96</v>
      </c>
      <c r="D5" s="2" t="s">
        <v>97</v>
      </c>
      <c r="E5" s="5"/>
      <c r="F5" s="2" t="s">
        <v>98</v>
      </c>
      <c r="G5" s="2" t="s">
        <v>82</v>
      </c>
      <c r="H5" s="2" t="s">
        <v>14</v>
      </c>
    </row>
    <row r="6" spans="1:8">
      <c r="A6" s="2" t="s">
        <v>99</v>
      </c>
      <c r="B6" s="2" t="s">
        <v>100</v>
      </c>
      <c r="C6" s="5"/>
      <c r="D6" s="2" t="s">
        <v>101</v>
      </c>
      <c r="E6" s="2" t="s">
        <v>102</v>
      </c>
      <c r="F6" s="2" t="s">
        <v>103</v>
      </c>
      <c r="G6" s="2" t="s">
        <v>104</v>
      </c>
      <c r="H6" s="2" t="s">
        <v>14</v>
      </c>
    </row>
    <row r="7" spans="1:8">
      <c r="A7" s="2" t="s">
        <v>105</v>
      </c>
      <c r="B7" s="2" t="s">
        <v>106</v>
      </c>
      <c r="C7" s="2" t="s">
        <v>107</v>
      </c>
      <c r="D7" s="8" t="s">
        <v>253</v>
      </c>
      <c r="E7" s="2" t="s">
        <v>109</v>
      </c>
      <c r="F7" s="2" t="s">
        <v>81</v>
      </c>
      <c r="G7" s="2" t="s">
        <v>82</v>
      </c>
      <c r="H7" s="8" t="s">
        <v>14</v>
      </c>
    </row>
    <row r="8" spans="1:8">
      <c r="A8" s="2" t="s">
        <v>110</v>
      </c>
      <c r="B8" s="2" t="s">
        <v>111</v>
      </c>
      <c r="C8" s="2" t="s">
        <v>112</v>
      </c>
      <c r="D8" s="2" t="s">
        <v>113</v>
      </c>
      <c r="E8" s="2" t="s">
        <v>114</v>
      </c>
      <c r="F8" s="2" t="s">
        <v>81</v>
      </c>
      <c r="G8" s="2" t="s">
        <v>82</v>
      </c>
      <c r="H8" s="2" t="s">
        <v>14</v>
      </c>
    </row>
    <row r="9" spans="1:8">
      <c r="A9" s="2" t="s">
        <v>115</v>
      </c>
      <c r="B9" s="2" t="s">
        <v>116</v>
      </c>
      <c r="C9" s="2" t="s">
        <v>117</v>
      </c>
      <c r="D9" s="2" t="s">
        <v>118</v>
      </c>
      <c r="E9" s="2" t="s">
        <v>119</v>
      </c>
      <c r="F9" s="2" t="s">
        <v>120</v>
      </c>
      <c r="G9" s="2" t="s">
        <v>82</v>
      </c>
      <c r="H9" s="2" t="s">
        <v>14</v>
      </c>
    </row>
    <row r="10" spans="1:8">
      <c r="A10" s="2" t="s">
        <v>121</v>
      </c>
      <c r="B10" s="2" t="s">
        <v>122</v>
      </c>
      <c r="C10" s="2" t="s">
        <v>123</v>
      </c>
      <c r="D10" s="2" t="s">
        <v>124</v>
      </c>
      <c r="E10" s="2" t="s">
        <v>125</v>
      </c>
      <c r="F10" s="2" t="s">
        <v>81</v>
      </c>
      <c r="G10" s="2" t="s">
        <v>82</v>
      </c>
      <c r="H10" s="2" t="s">
        <v>55</v>
      </c>
    </row>
    <row r="11" spans="1:8">
      <c r="A11" s="2" t="s">
        <v>126</v>
      </c>
      <c r="B11" s="2" t="s">
        <v>127</v>
      </c>
      <c r="C11" s="2" t="s">
        <v>128</v>
      </c>
      <c r="D11" s="2" t="s">
        <v>129</v>
      </c>
      <c r="E11" s="2" t="s">
        <v>130</v>
      </c>
      <c r="F11" s="2" t="s">
        <v>81</v>
      </c>
      <c r="G11" s="2" t="s">
        <v>82</v>
      </c>
      <c r="H11" s="2" t="s">
        <v>14</v>
      </c>
    </row>
    <row r="12" spans="1:8">
      <c r="A12" s="2" t="s">
        <v>131</v>
      </c>
      <c r="B12" s="2" t="s">
        <v>132</v>
      </c>
      <c r="C12" s="2" t="s">
        <v>133</v>
      </c>
      <c r="D12" s="2" t="s">
        <v>134</v>
      </c>
      <c r="E12" s="2" t="s">
        <v>135</v>
      </c>
      <c r="F12" s="2" t="s">
        <v>81</v>
      </c>
      <c r="G12" s="2" t="s">
        <v>82</v>
      </c>
      <c r="H12" s="2" t="s">
        <v>14</v>
      </c>
    </row>
    <row r="13" spans="1:8">
      <c r="A13" s="2" t="s">
        <v>136</v>
      </c>
      <c r="B13" s="2" t="s">
        <v>137</v>
      </c>
      <c r="C13" s="2" t="s">
        <v>138</v>
      </c>
      <c r="D13" s="2" t="s">
        <v>139</v>
      </c>
      <c r="E13" s="2" t="s">
        <v>140</v>
      </c>
      <c r="F13" s="2" t="s">
        <v>141</v>
      </c>
      <c r="G13" s="2" t="s">
        <v>82</v>
      </c>
      <c r="H13" s="5"/>
    </row>
    <row r="14" spans="1:8">
      <c r="A14" s="8" t="s">
        <v>262</v>
      </c>
      <c r="B14" s="2" t="s">
        <v>143</v>
      </c>
      <c r="C14" s="2" t="s">
        <v>144</v>
      </c>
      <c r="D14" s="2" t="s">
        <v>145</v>
      </c>
      <c r="E14" s="2" t="s">
        <v>146</v>
      </c>
      <c r="F14" s="2" t="s">
        <v>81</v>
      </c>
      <c r="G14" s="2" t="s">
        <v>82</v>
      </c>
      <c r="H14" s="2" t="s">
        <v>14</v>
      </c>
    </row>
    <row r="15" spans="1:8">
      <c r="A15" s="2" t="s">
        <v>147</v>
      </c>
      <c r="B15" s="2" t="s">
        <v>148</v>
      </c>
      <c r="C15" s="2" t="s">
        <v>149</v>
      </c>
      <c r="D15" s="2" t="s">
        <v>150</v>
      </c>
      <c r="E15" s="8"/>
      <c r="F15" s="2" t="s">
        <v>81</v>
      </c>
      <c r="G15" s="2" t="s">
        <v>82</v>
      </c>
      <c r="H15" s="2" t="s">
        <v>14</v>
      </c>
    </row>
  </sheetData>
  <conditionalFormatting sqref="A1:A1048576">
    <cfRule type="duplicateValues" dxfId="4" priority="1"/>
  </conditionalFormatting>
  <hyperlinks>
    <hyperlink ref="D4" r:id="rId1" xr:uid="{DA82E1B5-1F43-4438-A0EA-C2C46F2440A5}"/>
  </hyperlinks>
  <pageMargins left="0.7" right="0.7" top="0.75" bottom="0.75" header="0.3" footer="0.3"/>
  <pageSetup paperSize="9" orientation="portrait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2"/>
  <sheetViews>
    <sheetView workbookViewId="0">
      <selection activeCell="A2" sqref="A2:XFD3"/>
    </sheetView>
  </sheetViews>
  <sheetFormatPr defaultRowHeight="13.8"/>
  <cols>
    <col min="1" max="1" width="16" customWidth="1"/>
    <col min="2" max="2" width="24" customWidth="1"/>
    <col min="3" max="3" width="22" customWidth="1"/>
    <col min="4" max="4" width="18" customWidth="1"/>
    <col min="5" max="5" width="28" customWidth="1"/>
    <col min="6" max="6" width="18" customWidth="1"/>
    <col min="7" max="7" width="20" customWidth="1"/>
    <col min="8" max="8" width="14" customWidth="1"/>
    <col min="9" max="9" width="12" customWidth="1"/>
  </cols>
  <sheetData>
    <row r="1" spans="1:9">
      <c r="A1" s="1" t="s">
        <v>152</v>
      </c>
      <c r="B1" s="1" t="s">
        <v>153</v>
      </c>
      <c r="C1" s="1" t="s">
        <v>154</v>
      </c>
      <c r="D1" s="1" t="s">
        <v>155</v>
      </c>
      <c r="E1" s="1" t="s">
        <v>72</v>
      </c>
      <c r="F1" s="1" t="s">
        <v>73</v>
      </c>
      <c r="G1" s="1" t="s">
        <v>74</v>
      </c>
      <c r="H1" s="1" t="s">
        <v>75</v>
      </c>
      <c r="I1" s="1" t="s">
        <v>7</v>
      </c>
    </row>
    <row r="2" spans="1:9">
      <c r="A2" s="2" t="s">
        <v>156</v>
      </c>
      <c r="B2" s="2" t="s">
        <v>12</v>
      </c>
      <c r="C2" s="2" t="s">
        <v>157</v>
      </c>
      <c r="D2" s="8" t="s">
        <v>162</v>
      </c>
      <c r="E2" s="2" t="s">
        <v>158</v>
      </c>
      <c r="F2" s="2" t="s">
        <v>159</v>
      </c>
      <c r="G2" s="2" t="s">
        <v>81</v>
      </c>
      <c r="H2" s="2" t="s">
        <v>82</v>
      </c>
      <c r="I2" s="2" t="s">
        <v>14</v>
      </c>
    </row>
    <row r="3" spans="1:9">
      <c r="A3" s="2" t="s">
        <v>160</v>
      </c>
      <c r="B3" s="2" t="s">
        <v>18</v>
      </c>
      <c r="C3" s="2" t="s">
        <v>161</v>
      </c>
      <c r="D3" s="2" t="s">
        <v>162</v>
      </c>
      <c r="E3" s="2" t="s">
        <v>163</v>
      </c>
      <c r="F3" s="2" t="s">
        <v>164</v>
      </c>
      <c r="G3" s="2" t="s">
        <v>81</v>
      </c>
      <c r="H3" s="2" t="s">
        <v>82</v>
      </c>
      <c r="I3" s="2" t="s">
        <v>14</v>
      </c>
    </row>
    <row r="4" spans="1:9">
      <c r="A4" s="2" t="s">
        <v>165</v>
      </c>
      <c r="B4" s="2" t="s">
        <v>26</v>
      </c>
      <c r="C4" s="2" t="s">
        <v>166</v>
      </c>
      <c r="D4" s="8" t="s">
        <v>162</v>
      </c>
      <c r="E4" s="2" t="s">
        <v>167</v>
      </c>
      <c r="F4" s="2" t="s">
        <v>168</v>
      </c>
      <c r="G4" s="2" t="s">
        <v>98</v>
      </c>
      <c r="H4" s="2" t="s">
        <v>82</v>
      </c>
      <c r="I4" s="2" t="s">
        <v>14</v>
      </c>
    </row>
    <row r="5" spans="1:9">
      <c r="A5" s="2" t="s">
        <v>169</v>
      </c>
      <c r="B5" s="2" t="s">
        <v>32</v>
      </c>
      <c r="C5" s="2" t="s">
        <v>170</v>
      </c>
      <c r="D5" s="2" t="s">
        <v>30</v>
      </c>
      <c r="E5" s="2" t="s">
        <v>171</v>
      </c>
      <c r="F5" s="2" t="s">
        <v>172</v>
      </c>
      <c r="G5" s="2" t="s">
        <v>81</v>
      </c>
      <c r="H5" s="2" t="s">
        <v>82</v>
      </c>
      <c r="I5" s="2" t="s">
        <v>14</v>
      </c>
    </row>
    <row r="6" spans="1:9">
      <c r="A6" s="2" t="s">
        <v>173</v>
      </c>
      <c r="B6" s="2" t="s">
        <v>44</v>
      </c>
      <c r="C6" s="2" t="s">
        <v>174</v>
      </c>
      <c r="D6" s="2" t="s">
        <v>162</v>
      </c>
      <c r="E6" s="2" t="s">
        <v>175</v>
      </c>
      <c r="F6" s="12"/>
      <c r="G6" s="2" t="s">
        <v>176</v>
      </c>
      <c r="H6" s="2" t="s">
        <v>82</v>
      </c>
      <c r="I6" s="2" t="s">
        <v>14</v>
      </c>
    </row>
    <row r="7" spans="1:9">
      <c r="A7" s="2" t="s">
        <v>177</v>
      </c>
      <c r="B7" s="2" t="s">
        <v>53</v>
      </c>
      <c r="C7" s="2" t="s">
        <v>178</v>
      </c>
      <c r="D7" s="2" t="s">
        <v>179</v>
      </c>
      <c r="E7" s="14" t="s">
        <v>270</v>
      </c>
      <c r="F7" s="2" t="s">
        <v>181</v>
      </c>
      <c r="G7" s="2" t="s">
        <v>81</v>
      </c>
      <c r="H7" s="2" t="s">
        <v>82</v>
      </c>
      <c r="I7" s="2" t="s">
        <v>14</v>
      </c>
    </row>
    <row r="8" spans="1:9">
      <c r="A8" s="2" t="s">
        <v>182</v>
      </c>
      <c r="B8" s="2" t="s">
        <v>183</v>
      </c>
      <c r="C8" s="12"/>
      <c r="D8" s="2" t="s">
        <v>31</v>
      </c>
      <c r="E8" s="2" t="s">
        <v>184</v>
      </c>
      <c r="F8" s="2" t="s">
        <v>185</v>
      </c>
      <c r="G8" s="2" t="s">
        <v>81</v>
      </c>
      <c r="H8" s="2" t="s">
        <v>82</v>
      </c>
      <c r="I8" s="2" t="s">
        <v>14</v>
      </c>
    </row>
    <row r="9" spans="1:9">
      <c r="A9" s="2" t="s">
        <v>186</v>
      </c>
      <c r="B9" s="2" t="s">
        <v>187</v>
      </c>
      <c r="C9" s="2" t="s">
        <v>188</v>
      </c>
      <c r="D9" s="12"/>
      <c r="E9" s="2" t="s">
        <v>189</v>
      </c>
      <c r="F9" s="2" t="s">
        <v>190</v>
      </c>
      <c r="G9" s="2" t="s">
        <v>120</v>
      </c>
      <c r="H9" s="2" t="s">
        <v>82</v>
      </c>
      <c r="I9" s="2" t="s">
        <v>14</v>
      </c>
    </row>
    <row r="10" spans="1:9">
      <c r="A10" s="2" t="s">
        <v>191</v>
      </c>
      <c r="B10" s="2" t="s">
        <v>192</v>
      </c>
      <c r="C10" s="2" t="s">
        <v>193</v>
      </c>
      <c r="D10" s="2" t="s">
        <v>162</v>
      </c>
      <c r="E10" s="2" t="s">
        <v>194</v>
      </c>
      <c r="F10" s="2" t="s">
        <v>195</v>
      </c>
      <c r="G10" s="2" t="s">
        <v>92</v>
      </c>
      <c r="H10" s="8" t="s">
        <v>82</v>
      </c>
      <c r="I10" s="8" t="s">
        <v>14</v>
      </c>
    </row>
    <row r="11" spans="1:9" s="13" customFormat="1">
      <c r="A11" s="8" t="s">
        <v>196</v>
      </c>
      <c r="B11" s="8" t="s">
        <v>197</v>
      </c>
      <c r="C11" s="8" t="s">
        <v>198</v>
      </c>
      <c r="D11" s="8" t="s">
        <v>199</v>
      </c>
      <c r="E11" s="8" t="s">
        <v>200</v>
      </c>
      <c r="F11" s="8" t="s">
        <v>201</v>
      </c>
      <c r="G11" s="8" t="s">
        <v>81</v>
      </c>
      <c r="H11" s="8" t="s">
        <v>82</v>
      </c>
      <c r="I11" s="8" t="s">
        <v>55</v>
      </c>
    </row>
    <row r="12" spans="1:9">
      <c r="A12" s="2" t="s">
        <v>202</v>
      </c>
      <c r="B12" s="2" t="s">
        <v>203</v>
      </c>
      <c r="C12" s="2" t="s">
        <v>204</v>
      </c>
      <c r="D12" s="2" t="s">
        <v>162</v>
      </c>
      <c r="E12" s="2" t="s">
        <v>205</v>
      </c>
      <c r="F12" s="2" t="s">
        <v>206</v>
      </c>
      <c r="G12" s="2" t="s">
        <v>81</v>
      </c>
      <c r="H12" s="2" t="s">
        <v>82</v>
      </c>
      <c r="I12" s="2" t="s">
        <v>14</v>
      </c>
    </row>
  </sheetData>
  <conditionalFormatting sqref="A1:A1048576">
    <cfRule type="duplicateValues" dxfId="3" priority="1"/>
  </conditionalFormatting>
  <hyperlinks>
    <hyperlink ref="E7" r:id="rId1" xr:uid="{847569FE-3B55-477C-8C99-CCF02C1A00F5}"/>
  </hyperlinks>
  <pageMargins left="0.7" right="0.7" top="0.75" bottom="0.75" header="0.3" footer="0.3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0"/>
  <sheetViews>
    <sheetView workbookViewId="0">
      <selection sqref="A1:F1"/>
    </sheetView>
  </sheetViews>
  <sheetFormatPr defaultRowHeight="13.8"/>
  <cols>
    <col min="1" max="1" width="85" customWidth="1"/>
  </cols>
  <sheetData>
    <row r="1" spans="1:6" ht="21">
      <c r="A1" s="37" t="s">
        <v>207</v>
      </c>
      <c r="B1" s="38"/>
      <c r="C1" s="38"/>
      <c r="D1" s="38"/>
      <c r="E1" s="38"/>
      <c r="F1" s="38"/>
    </row>
    <row r="3" spans="1:6" ht="16.8">
      <c r="A3" s="4" t="s">
        <v>208</v>
      </c>
    </row>
    <row r="4" spans="1:6">
      <c r="A4" s="2" t="s">
        <v>209</v>
      </c>
    </row>
    <row r="5" spans="1:6" ht="27.6">
      <c r="A5" s="2" t="s">
        <v>210</v>
      </c>
    </row>
    <row r="6" spans="1:6">
      <c r="A6" s="2" t="s">
        <v>211</v>
      </c>
    </row>
    <row r="7" spans="1:6">
      <c r="A7" s="2"/>
    </row>
    <row r="8" spans="1:6" ht="16.8">
      <c r="A8" s="4" t="s">
        <v>212</v>
      </c>
    </row>
    <row r="9" spans="1:6">
      <c r="A9" s="2" t="s">
        <v>213</v>
      </c>
    </row>
    <row r="10" spans="1:6">
      <c r="A10" s="2" t="s">
        <v>214</v>
      </c>
    </row>
  </sheetData>
  <mergeCells count="1">
    <mergeCell ref="A1:F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94FF3D-425B-427E-9F1F-56E0EF360A12}">
  <dimension ref="A1:AD249"/>
  <sheetViews>
    <sheetView tabSelected="1" topLeftCell="A2" zoomScale="70" zoomScaleNormal="70" workbookViewId="0">
      <selection activeCell="D12" sqref="D12"/>
    </sheetView>
  </sheetViews>
  <sheetFormatPr defaultRowHeight="13.8"/>
  <cols>
    <col min="1" max="1" width="32.19921875" bestFit="1" customWidth="1"/>
    <col min="2" max="2" width="19.59765625" bestFit="1" customWidth="1"/>
    <col min="3" max="3" width="10.59765625" bestFit="1" customWidth="1"/>
    <col min="4" max="4" width="10.19921875" bestFit="1" customWidth="1"/>
    <col min="5" max="5" width="27.296875" bestFit="1" customWidth="1"/>
    <col min="6" max="6" width="30.796875" bestFit="1" customWidth="1"/>
    <col min="7" max="7" width="3.5" customWidth="1"/>
    <col min="8" max="8" width="27.09765625" bestFit="1" customWidth="1"/>
  </cols>
  <sheetData>
    <row r="1" spans="1:30" ht="29.4" customHeight="1">
      <c r="A1" s="32" t="s">
        <v>215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</row>
    <row r="2" spans="1:30" ht="10.199999999999999" customHeight="1">
      <c r="A2" s="15"/>
      <c r="B2" s="15"/>
      <c r="C2" s="15"/>
      <c r="D2" s="15"/>
      <c r="E2" s="15"/>
      <c r="F2" s="21"/>
      <c r="G2" s="21"/>
      <c r="H2" s="21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</row>
    <row r="3" spans="1:30" ht="27.6">
      <c r="A3" s="32" t="s">
        <v>216</v>
      </c>
      <c r="B3" s="33" t="s">
        <v>217</v>
      </c>
      <c r="C3" s="33" t="s">
        <v>218</v>
      </c>
      <c r="D3" s="33" t="s">
        <v>219</v>
      </c>
      <c r="E3" s="33" t="s">
        <v>220</v>
      </c>
      <c r="F3" s="33" t="s">
        <v>221</v>
      </c>
      <c r="G3" s="35"/>
      <c r="H3" s="34" t="s">
        <v>271</v>
      </c>
      <c r="I3" s="34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</row>
    <row r="4" spans="1:30">
      <c r="A4" s="17" t="s">
        <v>222</v>
      </c>
      <c r="B4" s="10" t="s">
        <v>223</v>
      </c>
      <c r="C4" s="10" t="s">
        <v>0</v>
      </c>
      <c r="D4" s="10">
        <v>1</v>
      </c>
      <c r="E4" s="10" t="s">
        <v>50</v>
      </c>
      <c r="F4" s="27" t="s">
        <v>224</v>
      </c>
      <c r="G4" s="20"/>
      <c r="H4" s="30" t="s">
        <v>272</v>
      </c>
      <c r="I4" s="27">
        <f>SUM(D:D)</f>
        <v>36</v>
      </c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  <c r="AD4" s="15"/>
    </row>
    <row r="5" spans="1:30">
      <c r="A5" s="18" t="s">
        <v>222</v>
      </c>
      <c r="B5" s="9" t="s">
        <v>225</v>
      </c>
      <c r="C5" s="9" t="s">
        <v>5</v>
      </c>
      <c r="D5" s="9">
        <v>1</v>
      </c>
      <c r="E5" s="9" t="s">
        <v>226</v>
      </c>
      <c r="F5" s="28" t="s">
        <v>229</v>
      </c>
      <c r="G5" s="25"/>
      <c r="H5" s="31" t="s">
        <v>273</v>
      </c>
      <c r="I5" s="28">
        <f>SUMIF(B:B,"Duplicidade",D:D)</f>
        <v>3</v>
      </c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</row>
    <row r="6" spans="1:30">
      <c r="A6" s="17" t="s">
        <v>222</v>
      </c>
      <c r="B6" s="10" t="s">
        <v>225</v>
      </c>
      <c r="C6" s="10" t="s">
        <v>3</v>
      </c>
      <c r="D6" s="10">
        <v>1</v>
      </c>
      <c r="E6" s="10" t="s">
        <v>227</v>
      </c>
      <c r="F6" s="27" t="s">
        <v>230</v>
      </c>
      <c r="G6" s="24"/>
      <c r="H6" s="30" t="s">
        <v>274</v>
      </c>
      <c r="I6" s="27">
        <f>SUMIF(B:B,"Campo vazio",D:D)</f>
        <v>10</v>
      </c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</row>
    <row r="7" spans="1:30">
      <c r="A7" s="18" t="s">
        <v>222</v>
      </c>
      <c r="B7" s="9" t="s">
        <v>225</v>
      </c>
      <c r="C7" s="9" t="s">
        <v>4</v>
      </c>
      <c r="D7" s="9">
        <v>1</v>
      </c>
      <c r="E7" s="9" t="s">
        <v>228</v>
      </c>
      <c r="F7" s="28" t="s">
        <v>231</v>
      </c>
      <c r="G7" s="25"/>
      <c r="H7" s="29" t="s">
        <v>232</v>
      </c>
      <c r="I7" s="28">
        <f>SUMIF(B:B,"Falta de padronização",D:D)</f>
        <v>17</v>
      </c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</row>
    <row r="8" spans="1:30">
      <c r="A8" s="17" t="s">
        <v>222</v>
      </c>
      <c r="B8" s="10" t="s">
        <v>232</v>
      </c>
      <c r="C8" s="10" t="s">
        <v>3</v>
      </c>
      <c r="D8" s="10">
        <v>2</v>
      </c>
      <c r="E8" s="10" t="s">
        <v>233</v>
      </c>
      <c r="F8" s="27" t="s">
        <v>234</v>
      </c>
      <c r="G8" s="24"/>
      <c r="H8" s="30" t="s">
        <v>250</v>
      </c>
      <c r="I8" s="27">
        <f>SUMIF(B:B,"Formato inválido",D:D)</f>
        <v>2</v>
      </c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</row>
    <row r="9" spans="1:30">
      <c r="A9" s="18" t="s">
        <v>222</v>
      </c>
      <c r="B9" s="9" t="s">
        <v>232</v>
      </c>
      <c r="C9" s="9" t="s">
        <v>7</v>
      </c>
      <c r="D9" s="9">
        <v>2</v>
      </c>
      <c r="E9" s="9" t="s">
        <v>281</v>
      </c>
      <c r="F9" s="28" t="s">
        <v>236</v>
      </c>
      <c r="G9" s="24"/>
      <c r="H9" s="30" t="s">
        <v>275</v>
      </c>
      <c r="I9" s="27">
        <f>SUMIF(B:B,"Valor inválido",D:D)</f>
        <v>3</v>
      </c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</row>
    <row r="10" spans="1:30">
      <c r="A10" s="17" t="s">
        <v>222</v>
      </c>
      <c r="B10" s="10" t="s">
        <v>232</v>
      </c>
      <c r="C10" s="10" t="s">
        <v>0</v>
      </c>
      <c r="D10" s="10">
        <v>1</v>
      </c>
      <c r="E10" s="10" t="s">
        <v>66</v>
      </c>
      <c r="F10" s="27" t="s">
        <v>237</v>
      </c>
      <c r="G10" s="25"/>
      <c r="H10" s="29" t="s">
        <v>279</v>
      </c>
      <c r="I10" s="28">
        <f>SUMIF(B:B,"Valor inconsistente",D:D)</f>
        <v>1</v>
      </c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</row>
    <row r="11" spans="1:30">
      <c r="A11" s="18" t="s">
        <v>222</v>
      </c>
      <c r="B11" s="9" t="s">
        <v>232</v>
      </c>
      <c r="C11" s="9" t="s">
        <v>4</v>
      </c>
      <c r="D11" s="9">
        <v>1</v>
      </c>
      <c r="E11" s="9" t="s">
        <v>48</v>
      </c>
      <c r="F11" s="28" t="s">
        <v>239</v>
      </c>
      <c r="G11" s="24"/>
      <c r="H11" s="30" t="s">
        <v>276</v>
      </c>
      <c r="I11" s="27">
        <v>42</v>
      </c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</row>
    <row r="12" spans="1:30">
      <c r="A12" s="17" t="s">
        <v>222</v>
      </c>
      <c r="B12" s="10" t="s">
        <v>240</v>
      </c>
      <c r="C12" s="10" t="s">
        <v>6</v>
      </c>
      <c r="D12" s="10">
        <v>1</v>
      </c>
      <c r="E12" s="10" t="s">
        <v>241</v>
      </c>
      <c r="F12" s="27" t="s">
        <v>242</v>
      </c>
      <c r="G12" s="25"/>
      <c r="H12" s="19" t="s">
        <v>277</v>
      </c>
      <c r="I12" s="26">
        <f>SUM(D:D)</f>
        <v>36</v>
      </c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</row>
    <row r="13" spans="1:30">
      <c r="A13" s="18" t="s">
        <v>243</v>
      </c>
      <c r="B13" s="9" t="s">
        <v>223</v>
      </c>
      <c r="C13" s="9" t="s">
        <v>69</v>
      </c>
      <c r="D13" s="9">
        <v>1</v>
      </c>
      <c r="E13" s="9" t="s">
        <v>126</v>
      </c>
      <c r="F13" s="28" t="s">
        <v>224</v>
      </c>
      <c r="G13" s="24"/>
      <c r="H13" s="23" t="s">
        <v>278</v>
      </c>
      <c r="I13" s="36">
        <f>I12/I11</f>
        <v>0.8571428571428571</v>
      </c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</row>
    <row r="14" spans="1:30">
      <c r="A14" s="17" t="s">
        <v>243</v>
      </c>
      <c r="B14" s="10" t="s">
        <v>225</v>
      </c>
      <c r="C14" s="10" t="s">
        <v>71</v>
      </c>
      <c r="D14" s="10">
        <v>1</v>
      </c>
      <c r="E14" s="10" t="s">
        <v>244</v>
      </c>
      <c r="F14" s="27" t="s">
        <v>229</v>
      </c>
      <c r="G14" s="15"/>
      <c r="H14" s="16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</row>
    <row r="15" spans="1:30">
      <c r="A15" s="18" t="s">
        <v>243</v>
      </c>
      <c r="B15" s="9" t="s">
        <v>225</v>
      </c>
      <c r="C15" s="9" t="s">
        <v>73</v>
      </c>
      <c r="D15" s="9">
        <v>1</v>
      </c>
      <c r="E15" s="9" t="s">
        <v>245</v>
      </c>
      <c r="F15" s="28" t="s">
        <v>229</v>
      </c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</row>
    <row r="16" spans="1:30">
      <c r="A16" s="17" t="s">
        <v>243</v>
      </c>
      <c r="B16" s="10" t="s">
        <v>225</v>
      </c>
      <c r="C16" s="10" t="s">
        <v>74</v>
      </c>
      <c r="D16" s="10">
        <v>1</v>
      </c>
      <c r="E16" s="10" t="s">
        <v>246</v>
      </c>
      <c r="F16" s="27" t="s">
        <v>229</v>
      </c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</row>
    <row r="17" spans="1:30">
      <c r="A17" s="18" t="s">
        <v>243</v>
      </c>
      <c r="B17" s="9" t="s">
        <v>225</v>
      </c>
      <c r="C17" s="9" t="s">
        <v>7</v>
      </c>
      <c r="D17" s="9">
        <v>1</v>
      </c>
      <c r="E17" s="9" t="s">
        <v>247</v>
      </c>
      <c r="F17" s="28" t="s">
        <v>229</v>
      </c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</row>
    <row r="18" spans="1:30">
      <c r="A18" s="17" t="s">
        <v>243</v>
      </c>
      <c r="B18" s="10" t="s">
        <v>232</v>
      </c>
      <c r="C18" s="10" t="s">
        <v>71</v>
      </c>
      <c r="D18" s="10">
        <v>1</v>
      </c>
      <c r="E18" s="10">
        <v>98765432100</v>
      </c>
      <c r="F18" s="27" t="s">
        <v>248</v>
      </c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</row>
    <row r="19" spans="1:30">
      <c r="A19" s="18" t="s">
        <v>243</v>
      </c>
      <c r="B19" s="9" t="s">
        <v>250</v>
      </c>
      <c r="C19" s="9" t="s">
        <v>72</v>
      </c>
      <c r="D19" s="9">
        <v>1</v>
      </c>
      <c r="E19" s="9" t="s">
        <v>90</v>
      </c>
      <c r="F19" s="28" t="s">
        <v>251</v>
      </c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</row>
    <row r="20" spans="1:30">
      <c r="A20" s="17" t="s">
        <v>243</v>
      </c>
      <c r="B20" s="10" t="s">
        <v>232</v>
      </c>
      <c r="C20" s="10" t="s">
        <v>72</v>
      </c>
      <c r="D20" s="10">
        <v>1</v>
      </c>
      <c r="E20" s="10" t="s">
        <v>108</v>
      </c>
      <c r="F20" s="27" t="s">
        <v>252</v>
      </c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</row>
    <row r="21" spans="1:30">
      <c r="A21" s="18" t="s">
        <v>243</v>
      </c>
      <c r="B21" s="9" t="s">
        <v>232</v>
      </c>
      <c r="C21" s="9" t="s">
        <v>73</v>
      </c>
      <c r="D21" s="9">
        <v>2</v>
      </c>
      <c r="E21" s="9" t="s">
        <v>254</v>
      </c>
      <c r="F21" s="28" t="s">
        <v>255</v>
      </c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</row>
    <row r="22" spans="1:30">
      <c r="A22" s="17" t="s">
        <v>243</v>
      </c>
      <c r="B22" s="10" t="s">
        <v>240</v>
      </c>
      <c r="C22" s="10" t="s">
        <v>73</v>
      </c>
      <c r="D22" s="10">
        <v>1</v>
      </c>
      <c r="E22" s="10" t="s">
        <v>151</v>
      </c>
      <c r="F22" s="27" t="s">
        <v>256</v>
      </c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</row>
    <row r="23" spans="1:30">
      <c r="A23" s="18" t="s">
        <v>243</v>
      </c>
      <c r="B23" s="9" t="s">
        <v>232</v>
      </c>
      <c r="C23" s="9" t="s">
        <v>75</v>
      </c>
      <c r="D23" s="9">
        <v>1</v>
      </c>
      <c r="E23" s="9" t="s">
        <v>93</v>
      </c>
      <c r="F23" s="28" t="s">
        <v>258</v>
      </c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</row>
    <row r="24" spans="1:30">
      <c r="A24" s="17" t="s">
        <v>243</v>
      </c>
      <c r="B24" s="10" t="s">
        <v>260</v>
      </c>
      <c r="C24" s="10" t="s">
        <v>75</v>
      </c>
      <c r="D24" s="10">
        <v>1</v>
      </c>
      <c r="E24" s="10" t="s">
        <v>81</v>
      </c>
      <c r="F24" s="27" t="s">
        <v>259</v>
      </c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</row>
    <row r="25" spans="1:30">
      <c r="A25" s="18" t="s">
        <v>243</v>
      </c>
      <c r="B25" s="9" t="s">
        <v>232</v>
      </c>
      <c r="C25" s="9" t="s">
        <v>69</v>
      </c>
      <c r="D25" s="9">
        <v>1</v>
      </c>
      <c r="E25" s="9" t="s">
        <v>142</v>
      </c>
      <c r="F25" s="28" t="s">
        <v>261</v>
      </c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</row>
    <row r="26" spans="1:30">
      <c r="A26" s="17" t="s">
        <v>243</v>
      </c>
      <c r="B26" s="10" t="s">
        <v>232</v>
      </c>
      <c r="C26" s="10" t="s">
        <v>7</v>
      </c>
      <c r="D26" s="10">
        <v>1</v>
      </c>
      <c r="E26" s="10" t="s">
        <v>40</v>
      </c>
      <c r="F26" s="27" t="s">
        <v>235</v>
      </c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</row>
    <row r="27" spans="1:30">
      <c r="A27" s="18" t="s">
        <v>263</v>
      </c>
      <c r="B27" s="9" t="s">
        <v>225</v>
      </c>
      <c r="C27" s="9" t="s">
        <v>154</v>
      </c>
      <c r="D27" s="9">
        <v>1</v>
      </c>
      <c r="E27" s="9" t="s">
        <v>264</v>
      </c>
      <c r="F27" s="28" t="s">
        <v>229</v>
      </c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</row>
    <row r="28" spans="1:30">
      <c r="A28" s="17" t="s">
        <v>263</v>
      </c>
      <c r="B28" s="10" t="s">
        <v>225</v>
      </c>
      <c r="C28" s="10" t="s">
        <v>73</v>
      </c>
      <c r="D28" s="10">
        <v>1</v>
      </c>
      <c r="E28" s="10" t="s">
        <v>265</v>
      </c>
      <c r="F28" s="27" t="s">
        <v>229</v>
      </c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</row>
    <row r="29" spans="1:30">
      <c r="A29" s="18" t="s">
        <v>263</v>
      </c>
      <c r="B29" s="9" t="s">
        <v>225</v>
      </c>
      <c r="C29" s="9" t="s">
        <v>155</v>
      </c>
      <c r="D29" s="9">
        <v>1</v>
      </c>
      <c r="E29" s="9" t="s">
        <v>266</v>
      </c>
      <c r="F29" s="28" t="s">
        <v>229</v>
      </c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</row>
    <row r="30" spans="1:30">
      <c r="A30" s="17" t="s">
        <v>263</v>
      </c>
      <c r="B30" s="10" t="s">
        <v>232</v>
      </c>
      <c r="C30" s="10" t="s">
        <v>155</v>
      </c>
      <c r="D30" s="10">
        <v>1</v>
      </c>
      <c r="E30" s="10" t="s">
        <v>267</v>
      </c>
      <c r="F30" s="27" t="s">
        <v>268</v>
      </c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</row>
    <row r="31" spans="1:30">
      <c r="A31" s="18" t="s">
        <v>263</v>
      </c>
      <c r="B31" s="9" t="s">
        <v>232</v>
      </c>
      <c r="C31" s="9" t="s">
        <v>74</v>
      </c>
      <c r="D31" s="9">
        <v>1</v>
      </c>
      <c r="E31" s="9" t="s">
        <v>92</v>
      </c>
      <c r="F31" s="28" t="s">
        <v>269</v>
      </c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</row>
    <row r="32" spans="1:30">
      <c r="A32" s="17" t="s">
        <v>263</v>
      </c>
      <c r="B32" s="10" t="s">
        <v>232</v>
      </c>
      <c r="C32" s="10" t="s">
        <v>75</v>
      </c>
      <c r="D32" s="10">
        <v>1</v>
      </c>
      <c r="E32" s="10" t="s">
        <v>93</v>
      </c>
      <c r="F32" s="27" t="s">
        <v>258</v>
      </c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</row>
    <row r="33" spans="1:30">
      <c r="A33" s="18" t="s">
        <v>263</v>
      </c>
      <c r="B33" s="9" t="s">
        <v>232</v>
      </c>
      <c r="C33" s="9" t="s">
        <v>7</v>
      </c>
      <c r="D33" s="9">
        <v>1</v>
      </c>
      <c r="E33" s="9" t="s">
        <v>40</v>
      </c>
      <c r="F33" s="28" t="s">
        <v>235</v>
      </c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</row>
    <row r="34" spans="1:30">
      <c r="A34" s="17" t="s">
        <v>263</v>
      </c>
      <c r="B34" s="10" t="s">
        <v>250</v>
      </c>
      <c r="C34" s="10" t="s">
        <v>72</v>
      </c>
      <c r="D34" s="10">
        <v>1</v>
      </c>
      <c r="E34" s="10" t="s">
        <v>180</v>
      </c>
      <c r="F34" s="27" t="s">
        <v>256</v>
      </c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</row>
    <row r="35" spans="1:30">
      <c r="A35" s="18" t="s">
        <v>263</v>
      </c>
      <c r="B35" s="9" t="s">
        <v>240</v>
      </c>
      <c r="C35" s="9" t="s">
        <v>73</v>
      </c>
      <c r="D35" s="9">
        <v>1</v>
      </c>
      <c r="E35" s="9" t="s">
        <v>206</v>
      </c>
      <c r="F35" s="28" t="s">
        <v>256</v>
      </c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</row>
    <row r="36" spans="1:30">
      <c r="A36" s="17" t="s">
        <v>263</v>
      </c>
      <c r="B36" s="10" t="s">
        <v>223</v>
      </c>
      <c r="C36" s="10" t="s">
        <v>0</v>
      </c>
      <c r="D36" s="10">
        <v>1</v>
      </c>
      <c r="E36" s="10" t="s">
        <v>280</v>
      </c>
      <c r="F36" s="27" t="s">
        <v>224</v>
      </c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</row>
    <row r="37" spans="1:30">
      <c r="A37" s="15"/>
      <c r="B37" s="15"/>
      <c r="C37" s="15"/>
      <c r="D37" s="15"/>
      <c r="E37" s="15"/>
      <c r="F37" s="22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</row>
    <row r="38" spans="1:30">
      <c r="A38" s="15"/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</row>
    <row r="39" spans="1:30">
      <c r="A39" s="15"/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</row>
    <row r="40" spans="1:30">
      <c r="A40" s="15"/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</row>
    <row r="41" spans="1:30">
      <c r="A41" s="15"/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</row>
    <row r="42" spans="1:30">
      <c r="A42" s="15"/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  <c r="AB42" s="15"/>
      <c r="AC42" s="15"/>
      <c r="AD42" s="15"/>
    </row>
    <row r="43" spans="1:30">
      <c r="A43" s="15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</row>
    <row r="44" spans="1:30">
      <c r="A44" s="15"/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</row>
    <row r="45" spans="1:30">
      <c r="A45" s="15"/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</row>
    <row r="46" spans="1:30">
      <c r="A46" s="15"/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  <c r="AD46" s="15"/>
    </row>
    <row r="47" spans="1:30">
      <c r="A47" s="15"/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/>
    </row>
    <row r="48" spans="1:30">
      <c r="A48" s="15"/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5"/>
    </row>
    <row r="49" spans="1:30">
      <c r="A49" s="15"/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</row>
    <row r="50" spans="1:30">
      <c r="A50" s="15"/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</row>
    <row r="51" spans="1:30">
      <c r="A51" s="15"/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15"/>
      <c r="AD51" s="15"/>
    </row>
    <row r="52" spans="1:30">
      <c r="A52" s="15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15"/>
      <c r="AD52" s="15"/>
    </row>
    <row r="53" spans="1:30">
      <c r="A53" s="15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  <c r="AB53" s="15"/>
      <c r="AC53" s="15"/>
      <c r="AD53" s="15"/>
    </row>
    <row r="54" spans="1:30">
      <c r="A54" s="15"/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  <c r="AC54" s="15"/>
      <c r="AD54" s="15"/>
    </row>
    <row r="55" spans="1:30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  <c r="AB55" s="15"/>
      <c r="AC55" s="15"/>
      <c r="AD55" s="15"/>
    </row>
    <row r="56" spans="1:30">
      <c r="A56" s="15"/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5"/>
      <c r="AC56" s="15"/>
      <c r="AD56" s="15"/>
    </row>
    <row r="57" spans="1:30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</row>
    <row r="58" spans="1:30">
      <c r="A58" s="15"/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  <c r="AC58" s="15"/>
      <c r="AD58" s="15"/>
    </row>
    <row r="59" spans="1:30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  <c r="AC59" s="15"/>
      <c r="AD59" s="15"/>
    </row>
    <row r="60" spans="1:30">
      <c r="A60" s="15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5"/>
    </row>
    <row r="61" spans="1:30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  <c r="AB61" s="15"/>
      <c r="AC61" s="15"/>
      <c r="AD61" s="15"/>
    </row>
    <row r="62" spans="1:30">
      <c r="A62" s="15"/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  <c r="AB62" s="15"/>
      <c r="AC62" s="15"/>
      <c r="AD62" s="15"/>
    </row>
    <row r="63" spans="1:30">
      <c r="A63" s="15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  <c r="AB63" s="15"/>
      <c r="AC63" s="15"/>
      <c r="AD63" s="15"/>
    </row>
    <row r="64" spans="1:30">
      <c r="A64" s="15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  <c r="AB64" s="15"/>
      <c r="AC64" s="15"/>
      <c r="AD64" s="15"/>
    </row>
    <row r="65" spans="1:30">
      <c r="A65" s="15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  <c r="AC65" s="15"/>
      <c r="AD65" s="15"/>
    </row>
    <row r="66" spans="1:30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  <c r="AB66" s="15"/>
      <c r="AC66" s="15"/>
      <c r="AD66" s="15"/>
    </row>
    <row r="67" spans="1:30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  <c r="AB67" s="15"/>
      <c r="AC67" s="15"/>
      <c r="AD67" s="15"/>
    </row>
    <row r="68" spans="1:30">
      <c r="A68" s="15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  <c r="AB68" s="15"/>
      <c r="AC68" s="15"/>
      <c r="AD68" s="15"/>
    </row>
    <row r="69" spans="1:30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  <c r="AB69" s="15"/>
      <c r="AC69" s="15"/>
      <c r="AD69" s="15"/>
    </row>
    <row r="70" spans="1:30">
      <c r="A70" s="15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  <c r="AB70" s="15"/>
      <c r="AC70" s="15"/>
      <c r="AD70" s="15"/>
    </row>
    <row r="71" spans="1:30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  <c r="AB71" s="15"/>
      <c r="AC71" s="15"/>
      <c r="AD71" s="15"/>
    </row>
    <row r="72" spans="1:30">
      <c r="A72" s="15"/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15"/>
      <c r="AB72" s="15"/>
      <c r="AC72" s="15"/>
      <c r="AD72" s="15"/>
    </row>
    <row r="73" spans="1:30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15"/>
      <c r="AB73" s="15"/>
      <c r="AC73" s="15"/>
      <c r="AD73" s="15"/>
    </row>
    <row r="74" spans="1:30">
      <c r="A74" s="15"/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  <c r="AA74" s="15"/>
      <c r="AB74" s="15"/>
      <c r="AC74" s="15"/>
      <c r="AD74" s="15"/>
    </row>
    <row r="75" spans="1:30">
      <c r="A75" s="15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  <c r="AB75" s="15"/>
      <c r="AC75" s="15"/>
      <c r="AD75" s="15"/>
    </row>
    <row r="76" spans="1:30">
      <c r="A76" s="15"/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  <c r="AA76" s="15"/>
      <c r="AB76" s="15"/>
      <c r="AC76" s="15"/>
      <c r="AD76" s="15"/>
    </row>
    <row r="77" spans="1:30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  <c r="AA77" s="15"/>
      <c r="AB77" s="15"/>
      <c r="AC77" s="15"/>
      <c r="AD77" s="15"/>
    </row>
    <row r="78" spans="1:30">
      <c r="A78" s="15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  <c r="AB78" s="15"/>
      <c r="AC78" s="15"/>
      <c r="AD78" s="15"/>
    </row>
    <row r="79" spans="1:30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15"/>
      <c r="AB79" s="15"/>
      <c r="AC79" s="15"/>
      <c r="AD79" s="15"/>
    </row>
    <row r="80" spans="1:30">
      <c r="A80" s="15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  <c r="AA80" s="15"/>
      <c r="AB80" s="15"/>
      <c r="AC80" s="15"/>
      <c r="AD80" s="15"/>
    </row>
    <row r="81" spans="1:30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  <c r="AB81" s="15"/>
      <c r="AC81" s="15"/>
      <c r="AD81" s="15"/>
    </row>
    <row r="82" spans="1:30">
      <c r="A82" s="15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  <c r="AA82" s="15"/>
      <c r="AB82" s="15"/>
      <c r="AC82" s="15"/>
      <c r="AD82" s="15"/>
    </row>
    <row r="83" spans="1:30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  <c r="AB83" s="15"/>
      <c r="AC83" s="15"/>
      <c r="AD83" s="15"/>
    </row>
    <row r="84" spans="1:30">
      <c r="A84" s="15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  <c r="AB84" s="15"/>
      <c r="AC84" s="15"/>
      <c r="AD84" s="15"/>
    </row>
    <row r="85" spans="1:30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  <c r="AB85" s="15"/>
      <c r="AC85" s="15"/>
      <c r="AD85" s="15"/>
    </row>
    <row r="86" spans="1:30">
      <c r="A86" s="15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  <c r="AB86" s="15"/>
      <c r="AC86" s="15"/>
      <c r="AD86" s="15"/>
    </row>
    <row r="87" spans="1:30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  <c r="AA87" s="15"/>
      <c r="AB87" s="15"/>
      <c r="AC87" s="15"/>
      <c r="AD87" s="15"/>
    </row>
    <row r="88" spans="1:30">
      <c r="A88" s="15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  <c r="AA88" s="15"/>
      <c r="AB88" s="15"/>
      <c r="AC88" s="15"/>
      <c r="AD88" s="15"/>
    </row>
    <row r="89" spans="1:30">
      <c r="A89" s="15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  <c r="AA89" s="15"/>
      <c r="AB89" s="15"/>
      <c r="AC89" s="15"/>
      <c r="AD89" s="15"/>
    </row>
    <row r="90" spans="1:30">
      <c r="A90" s="15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  <c r="AB90" s="15"/>
      <c r="AC90" s="15"/>
      <c r="AD90" s="15"/>
    </row>
    <row r="91" spans="1:30">
      <c r="A91" s="15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15"/>
      <c r="AB91" s="15"/>
      <c r="AC91" s="15"/>
      <c r="AD91" s="15"/>
    </row>
    <row r="92" spans="1:30">
      <c r="A92" s="15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  <c r="AA92" s="15"/>
      <c r="AB92" s="15"/>
      <c r="AC92" s="15"/>
      <c r="AD92" s="15"/>
    </row>
    <row r="93" spans="1:30">
      <c r="A93" s="15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  <c r="AA93" s="15"/>
      <c r="AB93" s="15"/>
      <c r="AC93" s="15"/>
      <c r="AD93" s="15"/>
    </row>
    <row r="94" spans="1:30">
      <c r="A94" s="15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  <c r="AA94" s="15"/>
      <c r="AB94" s="15"/>
      <c r="AC94" s="15"/>
      <c r="AD94" s="15"/>
    </row>
    <row r="95" spans="1:30">
      <c r="A95" s="15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  <c r="AA95" s="15"/>
      <c r="AB95" s="15"/>
      <c r="AC95" s="15"/>
      <c r="AD95" s="15"/>
    </row>
    <row r="96" spans="1:30">
      <c r="A96" s="15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  <c r="AA96" s="15"/>
      <c r="AB96" s="15"/>
      <c r="AC96" s="15"/>
      <c r="AD96" s="15"/>
    </row>
    <row r="97" spans="1:30">
      <c r="A97" s="15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  <c r="AA97" s="15"/>
      <c r="AB97" s="15"/>
      <c r="AC97" s="15"/>
      <c r="AD97" s="15"/>
    </row>
    <row r="98" spans="1:30">
      <c r="A98" s="15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  <c r="AA98" s="15"/>
      <c r="AB98" s="15"/>
      <c r="AC98" s="15"/>
      <c r="AD98" s="15"/>
    </row>
    <row r="99" spans="1:30">
      <c r="A99" s="15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  <c r="AA99" s="15"/>
      <c r="AB99" s="15"/>
      <c r="AC99" s="15"/>
      <c r="AD99" s="15"/>
    </row>
    <row r="100" spans="1:30">
      <c r="A100" s="15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  <c r="AA100" s="15"/>
      <c r="AB100" s="15"/>
      <c r="AC100" s="15"/>
      <c r="AD100" s="15"/>
    </row>
    <row r="101" spans="1:30">
      <c r="A101" s="15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  <c r="AA101" s="15"/>
      <c r="AB101" s="15"/>
      <c r="AC101" s="15"/>
      <c r="AD101" s="15"/>
    </row>
    <row r="102" spans="1:30">
      <c r="A102" s="15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  <c r="AA102" s="15"/>
      <c r="AB102" s="15"/>
      <c r="AC102" s="15"/>
      <c r="AD102" s="15"/>
    </row>
    <row r="103" spans="1:30">
      <c r="A103" s="15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  <c r="AA103" s="15"/>
      <c r="AB103" s="15"/>
      <c r="AC103" s="15"/>
      <c r="AD103" s="15"/>
    </row>
    <row r="104" spans="1:30">
      <c r="A104" s="15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  <c r="AA104" s="15"/>
      <c r="AB104" s="15"/>
      <c r="AC104" s="15"/>
      <c r="AD104" s="15"/>
    </row>
    <row r="105" spans="1:30">
      <c r="A105" s="15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  <c r="AA105" s="15"/>
      <c r="AB105" s="15"/>
      <c r="AC105" s="15"/>
      <c r="AD105" s="15"/>
    </row>
    <row r="106" spans="1:30">
      <c r="A106" s="15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  <c r="AA106" s="15"/>
      <c r="AB106" s="15"/>
      <c r="AC106" s="15"/>
      <c r="AD106" s="15"/>
    </row>
    <row r="107" spans="1:30">
      <c r="A107" s="15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  <c r="AA107" s="15"/>
      <c r="AB107" s="15"/>
      <c r="AC107" s="15"/>
      <c r="AD107" s="15"/>
    </row>
    <row r="108" spans="1:30">
      <c r="A108" s="15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  <c r="AA108" s="15"/>
      <c r="AB108" s="15"/>
      <c r="AC108" s="15"/>
      <c r="AD108" s="15"/>
    </row>
    <row r="109" spans="1:30">
      <c r="A109" s="15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  <c r="AA109" s="15"/>
      <c r="AB109" s="15"/>
      <c r="AC109" s="15"/>
      <c r="AD109" s="15"/>
    </row>
    <row r="110" spans="1:30">
      <c r="A110" s="15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  <c r="AA110" s="15"/>
      <c r="AB110" s="15"/>
      <c r="AC110" s="15"/>
      <c r="AD110" s="15"/>
    </row>
    <row r="111" spans="1:30">
      <c r="A111" s="15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  <c r="AA111" s="15"/>
      <c r="AB111" s="15"/>
      <c r="AC111" s="15"/>
      <c r="AD111" s="15"/>
    </row>
    <row r="112" spans="1:30">
      <c r="A112" s="15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5"/>
      <c r="AB112" s="15"/>
      <c r="AC112" s="15"/>
      <c r="AD112" s="15"/>
    </row>
    <row r="113" spans="1:30">
      <c r="A113" s="15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  <c r="AA113" s="15"/>
      <c r="AB113" s="15"/>
      <c r="AC113" s="15"/>
      <c r="AD113" s="15"/>
    </row>
    <row r="114" spans="1:30">
      <c r="A114" s="15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  <c r="AA114" s="15"/>
      <c r="AB114" s="15"/>
      <c r="AC114" s="15"/>
      <c r="AD114" s="15"/>
    </row>
    <row r="115" spans="1:30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  <c r="AA115" s="15"/>
      <c r="AB115" s="15"/>
      <c r="AC115" s="15"/>
      <c r="AD115" s="15"/>
    </row>
    <row r="116" spans="1:30">
      <c r="A116" s="15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  <c r="AA116" s="15"/>
      <c r="AB116" s="15"/>
      <c r="AC116" s="15"/>
      <c r="AD116" s="15"/>
    </row>
    <row r="117" spans="1:30">
      <c r="A117" s="15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  <c r="AA117" s="15"/>
      <c r="AB117" s="15"/>
      <c r="AC117" s="15"/>
      <c r="AD117" s="15"/>
    </row>
    <row r="118" spans="1:30">
      <c r="A118" s="15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  <c r="AA118" s="15"/>
      <c r="AB118" s="15"/>
      <c r="AC118" s="15"/>
      <c r="AD118" s="15"/>
    </row>
    <row r="119" spans="1:30">
      <c r="A119" s="15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  <c r="AA119" s="15"/>
      <c r="AB119" s="15"/>
      <c r="AC119" s="15"/>
      <c r="AD119" s="15"/>
    </row>
    <row r="120" spans="1:30">
      <c r="A120" s="15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  <c r="AA120" s="15"/>
      <c r="AB120" s="15"/>
      <c r="AC120" s="15"/>
      <c r="AD120" s="15"/>
    </row>
    <row r="121" spans="1:30">
      <c r="A121" s="15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  <c r="AA121" s="15"/>
      <c r="AB121" s="15"/>
      <c r="AC121" s="15"/>
      <c r="AD121" s="15"/>
    </row>
    <row r="122" spans="1:30">
      <c r="A122" s="15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  <c r="AA122" s="15"/>
      <c r="AB122" s="15"/>
      <c r="AC122" s="15"/>
      <c r="AD122" s="15"/>
    </row>
    <row r="123" spans="1:30">
      <c r="A123" s="15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  <c r="AA123" s="15"/>
      <c r="AB123" s="15"/>
      <c r="AC123" s="15"/>
      <c r="AD123" s="15"/>
    </row>
    <row r="124" spans="1:30">
      <c r="A124" s="15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  <c r="AA124" s="15"/>
      <c r="AB124" s="15"/>
      <c r="AC124" s="15"/>
      <c r="AD124" s="15"/>
    </row>
    <row r="125" spans="1:30">
      <c r="A125" s="15"/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  <c r="AA125" s="15"/>
      <c r="AB125" s="15"/>
      <c r="AC125" s="15"/>
      <c r="AD125" s="15"/>
    </row>
    <row r="126" spans="1:30">
      <c r="A126" s="15"/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  <c r="AA126" s="15"/>
      <c r="AB126" s="15"/>
      <c r="AC126" s="15"/>
      <c r="AD126" s="15"/>
    </row>
    <row r="127" spans="1:30">
      <c r="A127" s="15"/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  <c r="AA127" s="15"/>
      <c r="AB127" s="15"/>
      <c r="AC127" s="15"/>
      <c r="AD127" s="15"/>
    </row>
    <row r="128" spans="1:30">
      <c r="A128" s="15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  <c r="AA128" s="15"/>
      <c r="AB128" s="15"/>
      <c r="AC128" s="15"/>
      <c r="AD128" s="15"/>
    </row>
    <row r="129" spans="1:30">
      <c r="A129" s="15"/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  <c r="AA129" s="15"/>
      <c r="AB129" s="15"/>
      <c r="AC129" s="15"/>
      <c r="AD129" s="15"/>
    </row>
    <row r="130" spans="1:30">
      <c r="A130" s="15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  <c r="AA130" s="15"/>
      <c r="AB130" s="15"/>
      <c r="AC130" s="15"/>
      <c r="AD130" s="15"/>
    </row>
    <row r="131" spans="1:30">
      <c r="A131" s="15"/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  <c r="AA131" s="15"/>
      <c r="AB131" s="15"/>
      <c r="AC131" s="15"/>
      <c r="AD131" s="15"/>
    </row>
    <row r="132" spans="1:30">
      <c r="A132" s="15"/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  <c r="AA132" s="15"/>
      <c r="AB132" s="15"/>
      <c r="AC132" s="15"/>
      <c r="AD132" s="15"/>
    </row>
    <row r="133" spans="1:30">
      <c r="A133" s="15"/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  <c r="AA133" s="15"/>
      <c r="AB133" s="15"/>
      <c r="AC133" s="15"/>
      <c r="AD133" s="15"/>
    </row>
    <row r="134" spans="1:30">
      <c r="A134" s="15"/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  <c r="AA134" s="15"/>
      <c r="AB134" s="15"/>
      <c r="AC134" s="15"/>
      <c r="AD134" s="15"/>
    </row>
    <row r="135" spans="1:30">
      <c r="A135" s="15"/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  <c r="AA135" s="15"/>
      <c r="AB135" s="15"/>
      <c r="AC135" s="15"/>
      <c r="AD135" s="15"/>
    </row>
    <row r="136" spans="1:30">
      <c r="A136" s="15"/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  <c r="AA136" s="15"/>
      <c r="AB136" s="15"/>
      <c r="AC136" s="15"/>
      <c r="AD136" s="15"/>
    </row>
    <row r="137" spans="1:30">
      <c r="A137" s="15"/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  <c r="AA137" s="15"/>
      <c r="AB137" s="15"/>
      <c r="AC137" s="15"/>
      <c r="AD137" s="15"/>
    </row>
    <row r="138" spans="1:30">
      <c r="A138" s="15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  <c r="AA138" s="15"/>
      <c r="AB138" s="15"/>
      <c r="AC138" s="15"/>
      <c r="AD138" s="15"/>
    </row>
    <row r="139" spans="1:30">
      <c r="A139" s="15"/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  <c r="AA139" s="15"/>
      <c r="AB139" s="15"/>
      <c r="AC139" s="15"/>
      <c r="AD139" s="15"/>
    </row>
    <row r="140" spans="1:30">
      <c r="A140" s="15"/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  <c r="AA140" s="15"/>
      <c r="AB140" s="15"/>
      <c r="AC140" s="15"/>
      <c r="AD140" s="15"/>
    </row>
    <row r="141" spans="1:30">
      <c r="A141" s="15"/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  <c r="AA141" s="15"/>
      <c r="AB141" s="15"/>
      <c r="AC141" s="15"/>
      <c r="AD141" s="15"/>
    </row>
    <row r="142" spans="1:30">
      <c r="A142" s="15"/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  <c r="AA142" s="15"/>
      <c r="AB142" s="15"/>
      <c r="AC142" s="15"/>
      <c r="AD142" s="15"/>
    </row>
    <row r="143" spans="1:30">
      <c r="A143" s="15"/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  <c r="AA143" s="15"/>
      <c r="AB143" s="15"/>
      <c r="AC143" s="15"/>
      <c r="AD143" s="15"/>
    </row>
    <row r="144" spans="1:30">
      <c r="A144" s="15"/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  <c r="AA144" s="15"/>
      <c r="AB144" s="15"/>
      <c r="AC144" s="15"/>
      <c r="AD144" s="15"/>
    </row>
    <row r="145" spans="1:30">
      <c r="A145" s="15"/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  <c r="AA145" s="15"/>
      <c r="AB145" s="15"/>
      <c r="AC145" s="15"/>
      <c r="AD145" s="15"/>
    </row>
    <row r="146" spans="1:30">
      <c r="A146" s="15"/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  <c r="AA146" s="15"/>
      <c r="AB146" s="15"/>
      <c r="AC146" s="15"/>
      <c r="AD146" s="15"/>
    </row>
    <row r="147" spans="1:30">
      <c r="A147" s="15"/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  <c r="AA147" s="15"/>
      <c r="AB147" s="15"/>
      <c r="AC147" s="15"/>
      <c r="AD147" s="15"/>
    </row>
    <row r="148" spans="1:30">
      <c r="A148" s="15"/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  <c r="AA148" s="15"/>
      <c r="AB148" s="15"/>
      <c r="AC148" s="15"/>
      <c r="AD148" s="15"/>
    </row>
    <row r="149" spans="1:30">
      <c r="A149" s="15"/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  <c r="AA149" s="15"/>
      <c r="AB149" s="15"/>
      <c r="AC149" s="15"/>
      <c r="AD149" s="15"/>
    </row>
    <row r="150" spans="1:30">
      <c r="A150" s="15"/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  <c r="AA150" s="15"/>
      <c r="AB150" s="15"/>
      <c r="AC150" s="15"/>
      <c r="AD150" s="15"/>
    </row>
    <row r="151" spans="1:30">
      <c r="A151" s="15"/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  <c r="AA151" s="15"/>
      <c r="AB151" s="15"/>
      <c r="AC151" s="15"/>
      <c r="AD151" s="15"/>
    </row>
    <row r="152" spans="1:30">
      <c r="A152" s="15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  <c r="AA152" s="15"/>
      <c r="AB152" s="15"/>
      <c r="AC152" s="15"/>
      <c r="AD152" s="15"/>
    </row>
    <row r="153" spans="1:30">
      <c r="A153" s="15"/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  <c r="AA153" s="15"/>
      <c r="AB153" s="15"/>
      <c r="AC153" s="15"/>
      <c r="AD153" s="15"/>
    </row>
    <row r="154" spans="1:30">
      <c r="A154" s="15"/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  <c r="AA154" s="15"/>
      <c r="AB154" s="15"/>
      <c r="AC154" s="15"/>
      <c r="AD154" s="15"/>
    </row>
    <row r="155" spans="1:30">
      <c r="A155" s="15"/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  <c r="AA155" s="15"/>
      <c r="AB155" s="15"/>
      <c r="AC155" s="15"/>
      <c r="AD155" s="15"/>
    </row>
    <row r="156" spans="1:30">
      <c r="A156" s="15"/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  <c r="AA156" s="15"/>
      <c r="AB156" s="15"/>
      <c r="AC156" s="15"/>
      <c r="AD156" s="15"/>
    </row>
    <row r="157" spans="1:30">
      <c r="A157" s="15"/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  <c r="AA157" s="15"/>
      <c r="AB157" s="15"/>
      <c r="AC157" s="15"/>
      <c r="AD157" s="15"/>
    </row>
    <row r="158" spans="1:30">
      <c r="A158" s="15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  <c r="AA158" s="15"/>
      <c r="AB158" s="15"/>
      <c r="AC158" s="15"/>
      <c r="AD158" s="15"/>
    </row>
    <row r="159" spans="1:30">
      <c r="A159" s="15"/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  <c r="AA159" s="15"/>
      <c r="AB159" s="15"/>
      <c r="AC159" s="15"/>
      <c r="AD159" s="15"/>
    </row>
    <row r="160" spans="1:30">
      <c r="A160" s="15"/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  <c r="AA160" s="15"/>
      <c r="AB160" s="15"/>
      <c r="AC160" s="15"/>
      <c r="AD160" s="15"/>
    </row>
    <row r="161" spans="1:30">
      <c r="A161" s="15"/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  <c r="AA161" s="15"/>
      <c r="AB161" s="15"/>
      <c r="AC161" s="15"/>
      <c r="AD161" s="15"/>
    </row>
    <row r="162" spans="1:30">
      <c r="A162" s="15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  <c r="AA162" s="15"/>
      <c r="AB162" s="15"/>
      <c r="AC162" s="15"/>
      <c r="AD162" s="15"/>
    </row>
    <row r="163" spans="1:30">
      <c r="A163" s="15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  <c r="AA163" s="15"/>
      <c r="AB163" s="15"/>
      <c r="AC163" s="15"/>
      <c r="AD163" s="15"/>
    </row>
    <row r="164" spans="1:30">
      <c r="A164" s="15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  <c r="AA164" s="15"/>
      <c r="AB164" s="15"/>
      <c r="AC164" s="15"/>
      <c r="AD164" s="15"/>
    </row>
    <row r="165" spans="1:30">
      <c r="A165" s="15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  <c r="AA165" s="15"/>
      <c r="AB165" s="15"/>
      <c r="AC165" s="15"/>
      <c r="AD165" s="15"/>
    </row>
    <row r="166" spans="1:30">
      <c r="A166" s="15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  <c r="AA166" s="15"/>
      <c r="AB166" s="15"/>
      <c r="AC166" s="15"/>
      <c r="AD166" s="15"/>
    </row>
    <row r="167" spans="1:30">
      <c r="A167" s="15"/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  <c r="AA167" s="15"/>
      <c r="AB167" s="15"/>
      <c r="AC167" s="15"/>
      <c r="AD167" s="15"/>
    </row>
    <row r="168" spans="1:30">
      <c r="A168" s="15"/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  <c r="AA168" s="15"/>
      <c r="AB168" s="15"/>
      <c r="AC168" s="15"/>
      <c r="AD168" s="15"/>
    </row>
    <row r="169" spans="1:30">
      <c r="A169" s="15"/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  <c r="AA169" s="15"/>
      <c r="AB169" s="15"/>
      <c r="AC169" s="15"/>
      <c r="AD169" s="15"/>
    </row>
    <row r="170" spans="1:30">
      <c r="A170" s="15"/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  <c r="AA170" s="15"/>
      <c r="AB170" s="15"/>
      <c r="AC170" s="15"/>
      <c r="AD170" s="15"/>
    </row>
    <row r="171" spans="1:30">
      <c r="A171" s="15"/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  <c r="AA171" s="15"/>
      <c r="AB171" s="15"/>
      <c r="AC171" s="15"/>
      <c r="AD171" s="15"/>
    </row>
    <row r="172" spans="1:30">
      <c r="A172" s="15"/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  <c r="AA172" s="15"/>
      <c r="AB172" s="15"/>
      <c r="AC172" s="15"/>
      <c r="AD172" s="15"/>
    </row>
    <row r="173" spans="1:30">
      <c r="A173" s="15"/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  <c r="AA173" s="15"/>
      <c r="AB173" s="15"/>
      <c r="AC173" s="15"/>
      <c r="AD173" s="15"/>
    </row>
    <row r="174" spans="1:30">
      <c r="A174" s="15"/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  <c r="AA174" s="15"/>
      <c r="AB174" s="15"/>
      <c r="AC174" s="15"/>
      <c r="AD174" s="15"/>
    </row>
    <row r="175" spans="1:30">
      <c r="A175" s="15"/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  <c r="AA175" s="15"/>
      <c r="AB175" s="15"/>
      <c r="AC175" s="15"/>
      <c r="AD175" s="15"/>
    </row>
    <row r="176" spans="1:30">
      <c r="A176" s="15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  <c r="AA176" s="15"/>
      <c r="AB176" s="15"/>
      <c r="AC176" s="15"/>
      <c r="AD176" s="15"/>
    </row>
    <row r="177" spans="1:30">
      <c r="A177" s="15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  <c r="AA177" s="15"/>
      <c r="AB177" s="15"/>
      <c r="AC177" s="15"/>
      <c r="AD177" s="15"/>
    </row>
    <row r="178" spans="1:30">
      <c r="A178" s="15"/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  <c r="AA178" s="15"/>
      <c r="AB178" s="15"/>
      <c r="AC178" s="15"/>
      <c r="AD178" s="15"/>
    </row>
    <row r="179" spans="1:30">
      <c r="A179" s="15"/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  <c r="AA179" s="15"/>
      <c r="AB179" s="15"/>
      <c r="AC179" s="15"/>
      <c r="AD179" s="15"/>
    </row>
    <row r="180" spans="1:30">
      <c r="A180" s="15"/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  <c r="AA180" s="15"/>
      <c r="AB180" s="15"/>
      <c r="AC180" s="15"/>
      <c r="AD180" s="15"/>
    </row>
    <row r="181" spans="1:30">
      <c r="A181" s="15"/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  <c r="AA181" s="15"/>
      <c r="AB181" s="15"/>
      <c r="AC181" s="15"/>
      <c r="AD181" s="15"/>
    </row>
    <row r="182" spans="1:30">
      <c r="A182" s="15"/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  <c r="AA182" s="15"/>
      <c r="AB182" s="15"/>
      <c r="AC182" s="15"/>
      <c r="AD182" s="15"/>
    </row>
    <row r="183" spans="1:30">
      <c r="A183" s="15"/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  <c r="AA183" s="15"/>
      <c r="AB183" s="15"/>
      <c r="AC183" s="15"/>
      <c r="AD183" s="15"/>
    </row>
    <row r="184" spans="1:30">
      <c r="A184" s="15"/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  <c r="AA184" s="15"/>
      <c r="AB184" s="15"/>
      <c r="AC184" s="15"/>
      <c r="AD184" s="15"/>
    </row>
    <row r="185" spans="1:30">
      <c r="A185" s="15"/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  <c r="AA185" s="15"/>
      <c r="AB185" s="15"/>
      <c r="AC185" s="15"/>
      <c r="AD185" s="15"/>
    </row>
    <row r="186" spans="1:30">
      <c r="A186" s="15"/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  <c r="AA186" s="15"/>
      <c r="AB186" s="15"/>
      <c r="AC186" s="15"/>
      <c r="AD186" s="15"/>
    </row>
    <row r="187" spans="1:30">
      <c r="A187" s="15"/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  <c r="AA187" s="15"/>
      <c r="AB187" s="15"/>
      <c r="AC187" s="15"/>
      <c r="AD187" s="15"/>
    </row>
    <row r="188" spans="1:30">
      <c r="A188" s="15"/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  <c r="AA188" s="15"/>
      <c r="AB188" s="15"/>
      <c r="AC188" s="15"/>
      <c r="AD188" s="15"/>
    </row>
    <row r="189" spans="1:30">
      <c r="A189" s="15"/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  <c r="AA189" s="15"/>
      <c r="AB189" s="15"/>
      <c r="AC189" s="15"/>
      <c r="AD189" s="15"/>
    </row>
    <row r="190" spans="1:30">
      <c r="A190" s="15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  <c r="AA190" s="15"/>
      <c r="AB190" s="15"/>
      <c r="AC190" s="15"/>
      <c r="AD190" s="15"/>
    </row>
    <row r="191" spans="1:30">
      <c r="A191" s="15"/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  <c r="AA191" s="15"/>
      <c r="AB191" s="15"/>
      <c r="AC191" s="15"/>
      <c r="AD191" s="15"/>
    </row>
    <row r="192" spans="1:30">
      <c r="A192" s="15"/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  <c r="AA192" s="15"/>
      <c r="AB192" s="15"/>
      <c r="AC192" s="15"/>
      <c r="AD192" s="15"/>
    </row>
    <row r="193" spans="1:30">
      <c r="A193" s="15"/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  <c r="AA193" s="15"/>
      <c r="AB193" s="15"/>
      <c r="AC193" s="15"/>
      <c r="AD193" s="15"/>
    </row>
    <row r="194" spans="1:30">
      <c r="A194" s="15"/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  <c r="AA194" s="15"/>
      <c r="AB194" s="15"/>
      <c r="AC194" s="15"/>
      <c r="AD194" s="15"/>
    </row>
    <row r="195" spans="1:30">
      <c r="A195" s="15"/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  <c r="AA195" s="15"/>
      <c r="AB195" s="15"/>
      <c r="AC195" s="15"/>
      <c r="AD195" s="15"/>
    </row>
    <row r="196" spans="1:30">
      <c r="A196" s="15"/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  <c r="AA196" s="15"/>
      <c r="AB196" s="15"/>
      <c r="AC196" s="15"/>
      <c r="AD196" s="15"/>
    </row>
    <row r="197" spans="1:30">
      <c r="A197" s="15"/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  <c r="AA197" s="15"/>
      <c r="AB197" s="15"/>
      <c r="AC197" s="15"/>
      <c r="AD197" s="15"/>
    </row>
    <row r="198" spans="1:30">
      <c r="A198" s="15"/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  <c r="AA198" s="15"/>
      <c r="AB198" s="15"/>
      <c r="AC198" s="15"/>
      <c r="AD198" s="15"/>
    </row>
    <row r="199" spans="1:30">
      <c r="A199" s="15"/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  <c r="AA199" s="15"/>
      <c r="AB199" s="15"/>
      <c r="AC199" s="15"/>
      <c r="AD199" s="15"/>
    </row>
    <row r="200" spans="1:30">
      <c r="A200" s="15"/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  <c r="AA200" s="15"/>
      <c r="AB200" s="15"/>
      <c r="AC200" s="15"/>
      <c r="AD200" s="15"/>
    </row>
    <row r="201" spans="1:30">
      <c r="A201" s="15"/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  <c r="AA201" s="15"/>
      <c r="AB201" s="15"/>
      <c r="AC201" s="15"/>
      <c r="AD201" s="15"/>
    </row>
    <row r="202" spans="1:30">
      <c r="A202" s="15"/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  <c r="AA202" s="15"/>
      <c r="AB202" s="15"/>
      <c r="AC202" s="15"/>
      <c r="AD202" s="15"/>
    </row>
    <row r="203" spans="1:30">
      <c r="A203" s="15"/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  <c r="AA203" s="15"/>
      <c r="AB203" s="15"/>
      <c r="AC203" s="15"/>
      <c r="AD203" s="15"/>
    </row>
    <row r="204" spans="1:30">
      <c r="A204" s="15"/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  <c r="AA204" s="15"/>
      <c r="AB204" s="15"/>
      <c r="AC204" s="15"/>
      <c r="AD204" s="15"/>
    </row>
    <row r="205" spans="1:30">
      <c r="A205" s="15"/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  <c r="AA205" s="15"/>
      <c r="AB205" s="15"/>
      <c r="AC205" s="15"/>
      <c r="AD205" s="15"/>
    </row>
    <row r="206" spans="1:30">
      <c r="A206" s="15"/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  <c r="AA206" s="15"/>
      <c r="AB206" s="15"/>
      <c r="AC206" s="15"/>
      <c r="AD206" s="15"/>
    </row>
    <row r="207" spans="1:30">
      <c r="A207" s="15"/>
      <c r="B207" s="15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  <c r="AA207" s="15"/>
      <c r="AB207" s="15"/>
      <c r="AC207" s="15"/>
      <c r="AD207" s="15"/>
    </row>
    <row r="208" spans="1:30">
      <c r="A208" s="15"/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  <c r="AA208" s="15"/>
      <c r="AB208" s="15"/>
      <c r="AC208" s="15"/>
      <c r="AD208" s="15"/>
    </row>
    <row r="209" spans="1:30">
      <c r="A209" s="15"/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  <c r="AA209" s="15"/>
      <c r="AB209" s="15"/>
      <c r="AC209" s="15"/>
      <c r="AD209" s="15"/>
    </row>
    <row r="210" spans="1:30">
      <c r="A210" s="15"/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  <c r="AA210" s="15"/>
      <c r="AB210" s="15"/>
      <c r="AC210" s="15"/>
      <c r="AD210" s="15"/>
    </row>
    <row r="211" spans="1:30">
      <c r="A211" s="15"/>
      <c r="B211" s="15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  <c r="AA211" s="15"/>
      <c r="AB211" s="15"/>
      <c r="AC211" s="15"/>
      <c r="AD211" s="15"/>
    </row>
    <row r="212" spans="1:30">
      <c r="A212" s="15"/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  <c r="AA212" s="15"/>
      <c r="AB212" s="15"/>
      <c r="AC212" s="15"/>
      <c r="AD212" s="15"/>
    </row>
    <row r="213" spans="1:30">
      <c r="A213" s="15"/>
      <c r="B213" s="15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  <c r="AA213" s="15"/>
      <c r="AB213" s="15"/>
      <c r="AC213" s="15"/>
      <c r="AD213" s="15"/>
    </row>
    <row r="214" spans="1:30">
      <c r="A214" s="15"/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  <c r="AA214" s="15"/>
      <c r="AB214" s="15"/>
      <c r="AC214" s="15"/>
      <c r="AD214" s="15"/>
    </row>
    <row r="215" spans="1:30">
      <c r="A215" s="15"/>
      <c r="B215" s="15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  <c r="AA215" s="15"/>
      <c r="AB215" s="15"/>
      <c r="AC215" s="15"/>
      <c r="AD215" s="15"/>
    </row>
    <row r="216" spans="1:30">
      <c r="A216" s="15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  <c r="AA216" s="15"/>
      <c r="AB216" s="15"/>
      <c r="AC216" s="15"/>
      <c r="AD216" s="15"/>
    </row>
    <row r="217" spans="1:30">
      <c r="A217" s="15"/>
      <c r="B217" s="15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  <c r="AA217" s="15"/>
      <c r="AB217" s="15"/>
      <c r="AC217" s="15"/>
      <c r="AD217" s="15"/>
    </row>
    <row r="218" spans="1:30">
      <c r="A218" s="15"/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  <c r="AA218" s="15"/>
      <c r="AB218" s="15"/>
      <c r="AC218" s="15"/>
      <c r="AD218" s="15"/>
    </row>
    <row r="219" spans="1:30">
      <c r="A219" s="15"/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  <c r="AA219" s="15"/>
      <c r="AB219" s="15"/>
      <c r="AC219" s="15"/>
      <c r="AD219" s="15"/>
    </row>
    <row r="220" spans="1:30">
      <c r="A220" s="15"/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  <c r="AA220" s="15"/>
      <c r="AB220" s="15"/>
      <c r="AC220" s="15"/>
      <c r="AD220" s="15"/>
    </row>
    <row r="221" spans="1:30">
      <c r="A221" s="15"/>
      <c r="B221" s="15"/>
      <c r="C221" s="15"/>
      <c r="D221" s="15"/>
      <c r="E221" s="15"/>
      <c r="F221" s="15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  <c r="AA221" s="15"/>
      <c r="AB221" s="15"/>
      <c r="AC221" s="15"/>
      <c r="AD221" s="15"/>
    </row>
    <row r="222" spans="1:30">
      <c r="A222" s="15"/>
      <c r="B222" s="15"/>
      <c r="C222" s="15"/>
      <c r="D222" s="15"/>
      <c r="E222" s="15"/>
      <c r="F222" s="15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  <c r="AA222" s="15"/>
      <c r="AB222" s="15"/>
      <c r="AC222" s="15"/>
      <c r="AD222" s="15"/>
    </row>
    <row r="223" spans="1:30">
      <c r="A223" s="15"/>
      <c r="B223" s="15"/>
      <c r="C223" s="15"/>
      <c r="D223" s="15"/>
      <c r="E223" s="15"/>
      <c r="F223" s="15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  <c r="AA223" s="15"/>
      <c r="AB223" s="15"/>
      <c r="AC223" s="15"/>
      <c r="AD223" s="15"/>
    </row>
    <row r="224" spans="1:30">
      <c r="A224" s="15"/>
      <c r="B224" s="15"/>
      <c r="C224" s="15"/>
      <c r="D224" s="15"/>
      <c r="E224" s="15"/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  <c r="AA224" s="15"/>
      <c r="AB224" s="15"/>
      <c r="AC224" s="15"/>
      <c r="AD224" s="15"/>
    </row>
    <row r="225" spans="1:30">
      <c r="A225" s="15"/>
      <c r="B225" s="15"/>
      <c r="C225" s="15"/>
      <c r="D225" s="15"/>
      <c r="E225" s="15"/>
      <c r="F225" s="15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  <c r="AA225" s="15"/>
      <c r="AB225" s="15"/>
      <c r="AC225" s="15"/>
      <c r="AD225" s="15"/>
    </row>
    <row r="226" spans="1:30">
      <c r="A226" s="15"/>
      <c r="B226" s="15"/>
      <c r="C226" s="15"/>
      <c r="D226" s="15"/>
      <c r="E226" s="15"/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  <c r="AA226" s="15"/>
      <c r="AB226" s="15"/>
      <c r="AC226" s="15"/>
      <c r="AD226" s="15"/>
    </row>
    <row r="227" spans="1:30">
      <c r="A227" s="15"/>
      <c r="B227" s="15"/>
      <c r="C227" s="15"/>
      <c r="D227" s="15"/>
      <c r="E227" s="15"/>
      <c r="F227" s="15"/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  <c r="AA227" s="15"/>
      <c r="AB227" s="15"/>
      <c r="AC227" s="15"/>
      <c r="AD227" s="15"/>
    </row>
    <row r="228" spans="1:30">
      <c r="A228" s="15"/>
      <c r="B228" s="15"/>
      <c r="C228" s="15"/>
      <c r="D228" s="15"/>
      <c r="E228" s="15"/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  <c r="AA228" s="15"/>
      <c r="AB228" s="15"/>
      <c r="AC228" s="15"/>
      <c r="AD228" s="15"/>
    </row>
    <row r="229" spans="1:30">
      <c r="A229" s="15"/>
      <c r="B229" s="15"/>
      <c r="C229" s="15"/>
      <c r="D229" s="15"/>
      <c r="E229" s="15"/>
      <c r="F229" s="15"/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  <c r="AA229" s="15"/>
      <c r="AB229" s="15"/>
      <c r="AC229" s="15"/>
      <c r="AD229" s="15"/>
    </row>
    <row r="230" spans="1:30">
      <c r="A230" s="15"/>
      <c r="B230" s="15"/>
      <c r="C230" s="15"/>
      <c r="D230" s="15"/>
      <c r="E230" s="15"/>
      <c r="F230" s="15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  <c r="AA230" s="15"/>
      <c r="AB230" s="15"/>
      <c r="AC230" s="15"/>
      <c r="AD230" s="15"/>
    </row>
    <row r="231" spans="1:30">
      <c r="A231" s="15"/>
      <c r="B231" s="15"/>
      <c r="C231" s="15"/>
      <c r="D231" s="15"/>
      <c r="E231" s="15"/>
      <c r="F231" s="15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  <c r="AA231" s="15"/>
      <c r="AB231" s="15"/>
      <c r="AC231" s="15"/>
      <c r="AD231" s="15"/>
    </row>
    <row r="232" spans="1:30">
      <c r="A232" s="15"/>
      <c r="B232" s="15"/>
      <c r="C232" s="15"/>
      <c r="D232" s="15"/>
      <c r="E232" s="15"/>
      <c r="F232" s="15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  <c r="AA232" s="15"/>
      <c r="AB232" s="15"/>
      <c r="AC232" s="15"/>
      <c r="AD232" s="15"/>
    </row>
    <row r="233" spans="1:30">
      <c r="A233" s="15"/>
      <c r="B233" s="15"/>
      <c r="C233" s="15"/>
      <c r="D233" s="15"/>
      <c r="E233" s="15"/>
      <c r="F233" s="15"/>
      <c r="G233" s="15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  <c r="AA233" s="15"/>
      <c r="AB233" s="15"/>
      <c r="AC233" s="15"/>
      <c r="AD233" s="15"/>
    </row>
    <row r="234" spans="1:30">
      <c r="A234" s="15"/>
      <c r="B234" s="15"/>
      <c r="C234" s="15"/>
      <c r="D234" s="15"/>
      <c r="E234" s="15"/>
      <c r="F234" s="15"/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  <c r="AA234" s="15"/>
      <c r="AB234" s="15"/>
      <c r="AC234" s="15"/>
      <c r="AD234" s="15"/>
    </row>
    <row r="235" spans="1:30">
      <c r="A235" s="15"/>
      <c r="B235" s="15"/>
      <c r="C235" s="15"/>
      <c r="D235" s="15"/>
      <c r="E235" s="15"/>
      <c r="F235" s="15"/>
      <c r="G235" s="15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  <c r="AA235" s="15"/>
      <c r="AB235" s="15"/>
      <c r="AC235" s="15"/>
      <c r="AD235" s="15"/>
    </row>
    <row r="236" spans="1:30">
      <c r="A236" s="15"/>
      <c r="B236" s="15"/>
      <c r="C236" s="15"/>
      <c r="D236" s="15"/>
      <c r="E236" s="15"/>
      <c r="F236" s="15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  <c r="AA236" s="15"/>
      <c r="AB236" s="15"/>
      <c r="AC236" s="15"/>
      <c r="AD236" s="15"/>
    </row>
    <row r="237" spans="1:30">
      <c r="A237" s="15"/>
      <c r="B237" s="15"/>
      <c r="C237" s="15"/>
      <c r="D237" s="15"/>
      <c r="E237" s="15"/>
      <c r="F237" s="15"/>
      <c r="G237" s="15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  <c r="AA237" s="15"/>
      <c r="AB237" s="15"/>
      <c r="AC237" s="15"/>
      <c r="AD237" s="15"/>
    </row>
    <row r="238" spans="1:30">
      <c r="A238" s="15"/>
      <c r="B238" s="15"/>
      <c r="C238" s="15"/>
      <c r="D238" s="15"/>
      <c r="E238" s="15"/>
      <c r="F238" s="15"/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  <c r="AA238" s="15"/>
      <c r="AB238" s="15"/>
      <c r="AC238" s="15"/>
      <c r="AD238" s="15"/>
    </row>
    <row r="239" spans="1:30">
      <c r="A239" s="15"/>
      <c r="B239" s="15"/>
      <c r="C239" s="15"/>
      <c r="D239" s="15"/>
      <c r="E239" s="15"/>
      <c r="F239" s="15"/>
      <c r="G239" s="15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  <c r="AA239" s="15"/>
      <c r="AB239" s="15"/>
      <c r="AC239" s="15"/>
      <c r="AD239" s="15"/>
    </row>
    <row r="240" spans="1:30">
      <c r="A240" s="15"/>
      <c r="B240" s="15"/>
      <c r="C240" s="15"/>
      <c r="D240" s="15"/>
      <c r="E240" s="15"/>
      <c r="F240" s="15"/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  <c r="AA240" s="15"/>
      <c r="AB240" s="15"/>
      <c r="AC240" s="15"/>
      <c r="AD240" s="15"/>
    </row>
    <row r="241" spans="1:30">
      <c r="A241" s="15"/>
      <c r="B241" s="15"/>
      <c r="C241" s="15"/>
      <c r="D241" s="15"/>
      <c r="E241" s="15"/>
      <c r="F241" s="15"/>
      <c r="G241" s="15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  <c r="AA241" s="15"/>
      <c r="AB241" s="15"/>
      <c r="AC241" s="15"/>
      <c r="AD241" s="15"/>
    </row>
    <row r="242" spans="1:30">
      <c r="A242" s="15"/>
      <c r="B242" s="15"/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  <c r="AA242" s="15"/>
      <c r="AB242" s="15"/>
      <c r="AC242" s="15"/>
      <c r="AD242" s="15"/>
    </row>
    <row r="243" spans="1:30">
      <c r="A243" s="15"/>
      <c r="B243" s="15"/>
      <c r="C243" s="15"/>
      <c r="D243" s="15"/>
      <c r="E243" s="15"/>
      <c r="F243" s="15"/>
      <c r="G243" s="15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  <c r="AA243" s="15"/>
      <c r="AB243" s="15"/>
      <c r="AC243" s="15"/>
      <c r="AD243" s="15"/>
    </row>
    <row r="244" spans="1:30">
      <c r="A244" s="15"/>
      <c r="B244" s="15"/>
      <c r="C244" s="15"/>
      <c r="D244" s="15"/>
      <c r="E244" s="15"/>
      <c r="F244" s="15"/>
      <c r="G244" s="15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  <c r="AA244" s="15"/>
      <c r="AB244" s="15"/>
      <c r="AC244" s="15"/>
      <c r="AD244" s="15"/>
    </row>
    <row r="245" spans="1:30">
      <c r="A245" s="15"/>
      <c r="B245" s="15"/>
      <c r="C245" s="15"/>
      <c r="D245" s="15"/>
      <c r="E245" s="15"/>
      <c r="F245" s="15"/>
      <c r="G245" s="15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  <c r="AA245" s="15"/>
      <c r="AB245" s="15"/>
      <c r="AC245" s="15"/>
      <c r="AD245" s="15"/>
    </row>
    <row r="246" spans="1:30">
      <c r="A246" s="15"/>
      <c r="B246" s="15"/>
      <c r="C246" s="15"/>
      <c r="D246" s="15"/>
      <c r="E246" s="15"/>
      <c r="F246" s="15"/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  <c r="AA246" s="15"/>
      <c r="AB246" s="15"/>
      <c r="AC246" s="15"/>
      <c r="AD246" s="15"/>
    </row>
    <row r="247" spans="1:30">
      <c r="A247" s="15"/>
      <c r="B247" s="15"/>
      <c r="C247" s="15"/>
      <c r="D247" s="15"/>
      <c r="E247" s="15"/>
      <c r="F247" s="15"/>
      <c r="G247" s="15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  <c r="AA247" s="15"/>
      <c r="AB247" s="15"/>
      <c r="AC247" s="15"/>
      <c r="AD247" s="15"/>
    </row>
    <row r="248" spans="1:30">
      <c r="A248" s="15"/>
      <c r="B248" s="15"/>
      <c r="C248" s="15"/>
      <c r="D248" s="15"/>
      <c r="E248" s="15"/>
      <c r="F248" s="15"/>
      <c r="G248" s="15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  <c r="AA248" s="15"/>
      <c r="AB248" s="15"/>
      <c r="AC248" s="15"/>
      <c r="AD248" s="15"/>
    </row>
    <row r="249" spans="1:30">
      <c r="A249" s="15"/>
      <c r="B249" s="15"/>
      <c r="C249" s="15"/>
      <c r="D249" s="15"/>
      <c r="E249" s="15"/>
      <c r="F249" s="15"/>
      <c r="G249" s="15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  <c r="AA249" s="15"/>
      <c r="AB249" s="15"/>
      <c r="AC249" s="15"/>
      <c r="AD249" s="15"/>
    </row>
  </sheetData>
  <conditionalFormatting sqref="A1">
    <cfRule type="duplicateValues" dxfId="2" priority="1"/>
  </conditionalFormatting>
  <conditionalFormatting sqref="A3">
    <cfRule type="duplicateValues" dxfId="1" priority="2"/>
  </conditionalFormatting>
  <conditionalFormatting sqref="F3">
    <cfRule type="duplicateValues" dxfId="0" priority="3"/>
  </conditionalFormatting>
  <hyperlinks>
    <hyperlink ref="E19" r:id="rId1" xr:uid="{19D335E7-D548-4936-A0B0-2E451337B3E7}"/>
    <hyperlink ref="E20" r:id="rId2" display="mailto:FABIO.COSTA@EMAIL.COM" xr:uid="{70326BF5-AC63-4A3B-A5F8-551262B95952}"/>
  </hyperlinks>
  <pageMargins left="0.511811024" right="0.511811024" top="0.78740157499999996" bottom="0.78740157499999996" header="0.31496062000000002" footer="0.31496062000000002"/>
  <pageSetup paperSize="9" orientation="portrait" r:id="rId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Produtos</vt:lpstr>
      <vt:lpstr>Clientes</vt:lpstr>
      <vt:lpstr>Fornecedores</vt:lpstr>
      <vt:lpstr>Instruções</vt:lpstr>
      <vt:lpstr>Analise_Qualidade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Paulo Bonfante</dc:creator>
  <cp:lastModifiedBy>Paulo Cesar Santoro Bonfante</cp:lastModifiedBy>
  <dcterms:created xsi:type="dcterms:W3CDTF">2026-09-28T17:13:03Z</dcterms:created>
  <dcterms:modified xsi:type="dcterms:W3CDTF">2026-09-29T15:14:55Z</dcterms:modified>
</cp:coreProperties>
</file>